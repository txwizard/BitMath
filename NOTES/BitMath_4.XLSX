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" windowWidth="14880" windowHeight="8190" firstSheet="4" activeTab="10"/>
  </bookViews>
  <sheets>
    <sheet name="32 Bits" sheetId="1" r:id="rId1"/>
    <sheet name="Mappings" sheetId="3" r:id="rId2"/>
    <sheet name="Complements" sheetId="2" r:id="rId3"/>
    <sheet name="BitOff XREF" sheetId="4" r:id="rId4"/>
    <sheet name="BitMath Strings" sheetId="6" r:id="rId5"/>
    <sheet name="Integeral Types" sheetId="7" r:id="rId6"/>
    <sheet name="Integer Type Maxima" sheetId="9" r:id="rId7"/>
    <sheet name="Properties of C# Integers" sheetId="10" r:id="rId8"/>
    <sheet name="BitRuler" sheetId="12" r:id="rId9"/>
    <sheet name="Bit Arrays for Hex Digits" sheetId="11" r:id="rId10"/>
    <sheet name="Sheet1" sheetId="13" r:id="rId11"/>
  </sheets>
  <externalReferences>
    <externalReference r:id="rId12"/>
  </externalReferences>
  <definedNames>
    <definedName name="Compact_GUID">'Integeral Types'!$F$2:$F$32</definedName>
    <definedName name="DecimalValueToBitNumber">'32 Bits'!$F$3:$I$34</definedName>
    <definedName name="Tens" localSheetId="8">BitRuler!$C$3</definedName>
    <definedName name="Tens">#REF!</definedName>
    <definedName name="TypeFromGUIDLookup">'Integer Type Maxima'!$G$3:$L$9</definedName>
    <definedName name="typeof">'Integeral Types'!$B$1</definedName>
    <definedName name="Units" localSheetId="8">BitRuler!$C$4</definedName>
    <definedName name="Units">#REF!</definedName>
    <definedName name="Visual_Studio_Project_Source_Code_Root">'BitOff XREF'!$B$1</definedName>
  </definedNames>
  <calcPr calcId="145621"/>
</workbook>
</file>

<file path=xl/calcChain.xml><?xml version="1.0" encoding="utf-8"?>
<calcChain xmlns="http://schemas.openxmlformats.org/spreadsheetml/2006/main">
  <c r="E7" i="13" l="1"/>
  <c r="E6" i="13"/>
  <c r="E5" i="13"/>
  <c r="E4" i="13"/>
  <c r="E3" i="13"/>
  <c r="D3" i="12" l="1"/>
  <c r="F3" i="12"/>
  <c r="D4" i="12"/>
  <c r="F4" i="12"/>
  <c r="D5" i="12"/>
  <c r="F5" i="12"/>
  <c r="D6" i="12"/>
  <c r="F6" i="12"/>
  <c r="H21" i="11" l="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H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2" i="11"/>
  <c r="G3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F4" i="11"/>
  <c r="F3" i="11"/>
  <c r="F2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2" i="11"/>
  <c r="B3" i="11"/>
  <c r="D20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2" i="11"/>
  <c r="C3" i="11"/>
  <c r="D2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2" i="11"/>
  <c r="E3" i="11"/>
  <c r="AE2" i="9" l="1"/>
  <c r="AE10" i="9"/>
  <c r="AC9" i="9"/>
  <c r="AC8" i="9"/>
  <c r="AC7" i="9"/>
  <c r="AC6" i="9"/>
  <c r="AC5" i="9"/>
  <c r="AC4" i="9"/>
  <c r="AC3" i="9"/>
  <c r="P4" i="9"/>
  <c r="P5" i="9" s="1"/>
  <c r="P6" i="9" s="1"/>
  <c r="P7" i="9" s="1"/>
  <c r="P8" i="9" s="1"/>
  <c r="P9" i="9" s="1"/>
  <c r="P3" i="9"/>
  <c r="S9" i="9"/>
  <c r="AE9" i="9" s="1"/>
  <c r="S8" i="9"/>
  <c r="AB8" i="9" s="1"/>
  <c r="AD8" i="9" s="1"/>
  <c r="S7" i="9"/>
  <c r="AE7" i="9" s="1"/>
  <c r="S6" i="9"/>
  <c r="AB6" i="9" s="1"/>
  <c r="AD6" i="9" s="1"/>
  <c r="S5" i="9"/>
  <c r="AE5" i="9" s="1"/>
  <c r="S4" i="9"/>
  <c r="AB4" i="9" s="1"/>
  <c r="AD4" i="9" s="1"/>
  <c r="S3" i="9"/>
  <c r="AE3" i="9" s="1"/>
  <c r="L9" i="9"/>
  <c r="L8" i="9"/>
  <c r="L7" i="9"/>
  <c r="L6" i="9"/>
  <c r="L5" i="9"/>
  <c r="L4" i="9"/>
  <c r="L3" i="9"/>
  <c r="AA8" i="9"/>
  <c r="AA6" i="9"/>
  <c r="AA4" i="9"/>
  <c r="Y9" i="9"/>
  <c r="AA9" i="9" s="1"/>
  <c r="Y8" i="9"/>
  <c r="Z8" i="9" s="1"/>
  <c r="Y7" i="9"/>
  <c r="AA7" i="9" s="1"/>
  <c r="Y6" i="9"/>
  <c r="Z6" i="9" s="1"/>
  <c r="Y5" i="9"/>
  <c r="AA5" i="9" s="1"/>
  <c r="Y4" i="9"/>
  <c r="Z4" i="9" s="1"/>
  <c r="Y3" i="9"/>
  <c r="AA3" i="9" s="1"/>
  <c r="K9" i="9"/>
  <c r="K8" i="9"/>
  <c r="K7" i="9"/>
  <c r="K6" i="9"/>
  <c r="K5" i="9"/>
  <c r="K4" i="9"/>
  <c r="K3" i="9"/>
  <c r="J9" i="9"/>
  <c r="J8" i="9"/>
  <c r="J7" i="9"/>
  <c r="J6" i="9"/>
  <c r="J5" i="9"/>
  <c r="J4" i="9"/>
  <c r="J3" i="9"/>
  <c r="I9" i="9"/>
  <c r="I8" i="9"/>
  <c r="I7" i="9"/>
  <c r="I6" i="9"/>
  <c r="I5" i="9"/>
  <c r="I4" i="9"/>
  <c r="I3" i="9"/>
  <c r="H9" i="9"/>
  <c r="H8" i="9"/>
  <c r="H7" i="9"/>
  <c r="H6" i="9"/>
  <c r="H5" i="9"/>
  <c r="H4" i="9"/>
  <c r="H3" i="9"/>
  <c r="G9" i="9"/>
  <c r="G8" i="9"/>
  <c r="G7" i="9"/>
  <c r="G6" i="9"/>
  <c r="G5" i="9"/>
  <c r="G4" i="9"/>
  <c r="G3" i="9"/>
  <c r="F9" i="9"/>
  <c r="F8" i="9"/>
  <c r="F7" i="9"/>
  <c r="F6" i="9"/>
  <c r="F5" i="9"/>
  <c r="F4" i="9"/>
  <c r="F3" i="9"/>
  <c r="C12" i="9"/>
  <c r="D9" i="9"/>
  <c r="E9" i="9" s="1"/>
  <c r="C9" i="9"/>
  <c r="D8" i="9"/>
  <c r="E8" i="9" s="1"/>
  <c r="C8" i="9"/>
  <c r="E7" i="9"/>
  <c r="D7" i="9"/>
  <c r="C7" i="9"/>
  <c r="B9" i="9"/>
  <c r="B8" i="9"/>
  <c r="B7" i="9"/>
  <c r="B6" i="9"/>
  <c r="B5" i="9"/>
  <c r="B4" i="9"/>
  <c r="B3" i="9"/>
  <c r="AB3" i="9" l="1"/>
  <c r="AD3" i="9" s="1"/>
  <c r="AB5" i="9"/>
  <c r="AD5" i="9" s="1"/>
  <c r="AB7" i="9"/>
  <c r="AD7" i="9" s="1"/>
  <c r="AB9" i="9"/>
  <c r="AD9" i="9" s="1"/>
  <c r="AE4" i="9"/>
  <c r="AE6" i="9"/>
  <c r="AE8" i="9"/>
  <c r="Z3" i="9"/>
  <c r="Z5" i="9"/>
  <c r="Z7" i="9"/>
  <c r="Z9" i="9"/>
  <c r="C6" i="9"/>
  <c r="C5" i="9"/>
  <c r="C4" i="9"/>
  <c r="C3" i="9"/>
  <c r="D3" i="9" l="1"/>
  <c r="E3" i="9" s="1"/>
  <c r="D5" i="9"/>
  <c r="E5" i="9" s="1"/>
  <c r="D4" i="9"/>
  <c r="E4" i="9" s="1"/>
  <c r="D6" i="9"/>
  <c r="E6" i="9" s="1"/>
  <c r="G30" i="7"/>
  <c r="G26" i="7"/>
  <c r="G22" i="7"/>
  <c r="G18" i="7"/>
  <c r="G16" i="7"/>
  <c r="G12" i="7"/>
  <c r="G9" i="7"/>
  <c r="G5" i="7"/>
  <c r="G31" i="7" s="1"/>
  <c r="D10" i="6" l="1"/>
  <c r="D9" i="6"/>
  <c r="D8" i="6"/>
  <c r="D7" i="6"/>
  <c r="D6" i="6"/>
  <c r="D5" i="6"/>
  <c r="D4" i="6"/>
  <c r="B3" i="6"/>
  <c r="D3" i="6" s="1"/>
  <c r="B2" i="6"/>
  <c r="D2" i="6" s="1"/>
  <c r="O22" i="3" l="1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E72" i="4"/>
  <c r="B13" i="4"/>
  <c r="B28" i="4"/>
  <c r="B17" i="4"/>
  <c r="B59" i="4"/>
  <c r="E52" i="4"/>
  <c r="B30" i="4"/>
  <c r="B9" i="4"/>
  <c r="B12" i="4"/>
  <c r="E29" i="4"/>
  <c r="E33" i="4"/>
  <c r="B62" i="4"/>
  <c r="E32" i="4"/>
  <c r="B45" i="4"/>
  <c r="B31" i="4"/>
  <c r="B49" i="4"/>
  <c r="B39" i="4"/>
  <c r="B37" i="4"/>
  <c r="B19" i="4"/>
  <c r="B41" i="4"/>
  <c r="B27" i="4"/>
  <c r="B61" i="4"/>
  <c r="B55" i="4"/>
  <c r="B65" i="4"/>
  <c r="B63" i="4"/>
  <c r="B53" i="4"/>
  <c r="B47" i="4"/>
  <c r="B57" i="4"/>
  <c r="B51" i="4"/>
  <c r="B70" i="4"/>
  <c r="E10" i="4"/>
  <c r="E21" i="4"/>
  <c r="E25" i="4"/>
  <c r="B52" i="4"/>
  <c r="B48" i="4"/>
  <c r="B60" i="4"/>
  <c r="E56" i="4"/>
  <c r="B69" i="4"/>
  <c r="B67" i="4"/>
  <c r="E44" i="4"/>
  <c r="B71" i="4"/>
  <c r="B29" i="4"/>
  <c r="B33" i="4"/>
  <c r="B21" i="4"/>
  <c r="E68" i="4"/>
  <c r="E38" i="4"/>
  <c r="E34" i="4"/>
  <c r="B10" i="4"/>
  <c r="E42" i="4"/>
  <c r="E22" i="4"/>
  <c r="E18" i="4"/>
  <c r="E30" i="4"/>
  <c r="E26" i="4"/>
  <c r="B34" i="4"/>
  <c r="B38" i="4"/>
  <c r="B42" i="4"/>
  <c r="E46" i="4"/>
  <c r="B18" i="4"/>
  <c r="B14" i="4"/>
  <c r="B26" i="4"/>
  <c r="B22" i="4"/>
  <c r="B8" i="4"/>
  <c r="B16" i="4"/>
  <c r="E64" i="4"/>
  <c r="B25" i="4"/>
  <c r="B66" i="4"/>
  <c r="E11" i="4"/>
  <c r="E13" i="4"/>
  <c r="E15" i="4"/>
  <c r="E17" i="4"/>
  <c r="B50" i="4"/>
  <c r="E54" i="4"/>
  <c r="E58" i="4"/>
  <c r="E9" i="4"/>
  <c r="B72" i="4"/>
  <c r="E31" i="4"/>
  <c r="E19" i="4"/>
  <c r="B68" i="4"/>
  <c r="E43" i="4"/>
  <c r="E45" i="4"/>
  <c r="E47" i="4"/>
  <c r="E49" i="4"/>
  <c r="E35" i="4"/>
  <c r="E37" i="4"/>
  <c r="E39" i="4"/>
  <c r="E41" i="4"/>
  <c r="E59" i="4"/>
  <c r="E61" i="4"/>
  <c r="E63" i="4"/>
  <c r="E65" i="4"/>
  <c r="E51" i="4"/>
  <c r="E53" i="4"/>
  <c r="E55" i="4"/>
  <c r="E57" i="4"/>
  <c r="E70" i="4"/>
  <c r="E14" i="4"/>
  <c r="B64" i="4"/>
  <c r="E23" i="4"/>
  <c r="E50" i="4"/>
  <c r="B54" i="4"/>
  <c r="B58" i="4"/>
  <c r="E60" i="4"/>
  <c r="E67" i="4"/>
  <c r="E69" i="4"/>
  <c r="E71" i="4"/>
  <c r="B46" i="4"/>
  <c r="E27" i="4"/>
  <c r="E48" i="4"/>
  <c r="E8" i="4"/>
  <c r="E66" i="4"/>
  <c r="E40" i="4"/>
  <c r="B40" i="4"/>
  <c r="B56" i="4"/>
  <c r="E12" i="4"/>
  <c r="B36" i="4"/>
  <c r="B24" i="4"/>
  <c r="E24" i="4"/>
  <c r="B32" i="4"/>
  <c r="B35" i="4"/>
  <c r="E36" i="4"/>
  <c r="B43" i="4"/>
  <c r="B44" i="4"/>
  <c r="B15" i="4"/>
  <c r="E20" i="4"/>
  <c r="B23" i="4"/>
  <c r="E28" i="4"/>
  <c r="B11" i="4"/>
  <c r="B20" i="4"/>
  <c r="E62" i="4"/>
  <c r="E16" i="4"/>
  <c r="C8" i="4" l="1"/>
  <c r="C16" i="4"/>
  <c r="C11" i="4"/>
  <c r="C15" i="4"/>
  <c r="C19" i="4"/>
  <c r="C23" i="4"/>
  <c r="C27" i="4"/>
  <c r="C31" i="4"/>
  <c r="C35" i="4"/>
  <c r="C39" i="4"/>
  <c r="C43" i="4"/>
  <c r="C47" i="4"/>
  <c r="C51" i="4"/>
  <c r="C55" i="4"/>
  <c r="C59" i="4"/>
  <c r="C63" i="4"/>
  <c r="C67" i="4"/>
  <c r="C71" i="4"/>
  <c r="C14" i="4"/>
  <c r="C20" i="4"/>
  <c r="C24" i="4"/>
  <c r="C28" i="4"/>
  <c r="C32" i="4"/>
  <c r="C36" i="4"/>
  <c r="C40" i="4"/>
  <c r="C44" i="4"/>
  <c r="C48" i="4"/>
  <c r="C52" i="4"/>
  <c r="C56" i="4"/>
  <c r="C60" i="4"/>
  <c r="C64" i="4"/>
  <c r="C68" i="4"/>
  <c r="C72" i="4"/>
  <c r="C12" i="4"/>
  <c r="C9" i="4"/>
  <c r="C13" i="4"/>
  <c r="C17" i="4"/>
  <c r="C21" i="4"/>
  <c r="C25" i="4"/>
  <c r="C29" i="4"/>
  <c r="C33" i="4"/>
  <c r="C37" i="4"/>
  <c r="C41" i="4"/>
  <c r="C45" i="4"/>
  <c r="C49" i="4"/>
  <c r="C53" i="4"/>
  <c r="C57" i="4"/>
  <c r="C61" i="4"/>
  <c r="C65" i="4"/>
  <c r="C69" i="4"/>
  <c r="C10" i="4"/>
  <c r="C18" i="4"/>
  <c r="C22" i="4"/>
  <c r="C26" i="4"/>
  <c r="C30" i="4"/>
  <c r="C34" i="4"/>
  <c r="C38" i="4"/>
  <c r="C42" i="4"/>
  <c r="C46" i="4"/>
  <c r="C50" i="4"/>
  <c r="C54" i="4"/>
  <c r="C58" i="4"/>
  <c r="C62" i="4"/>
  <c r="C66" i="4"/>
  <c r="C70" i="4"/>
  <c r="C5" i="2"/>
  <c r="C4" i="2"/>
  <c r="C3" i="2"/>
  <c r="C2" i="2"/>
  <c r="D68" i="4"/>
  <c r="D31" i="4"/>
  <c r="D41" i="4"/>
  <c r="D72" i="4"/>
  <c r="D51" i="4"/>
  <c r="D16" i="4"/>
  <c r="D23" i="4"/>
  <c r="D9" i="4"/>
  <c r="D56" i="4"/>
  <c r="D44" i="4"/>
  <c r="D33" i="4"/>
  <c r="D12" i="4"/>
  <c r="D60" i="4"/>
  <c r="D40" i="4"/>
  <c r="D32" i="4"/>
  <c r="D20" i="4"/>
  <c r="D46" i="4"/>
  <c r="D28" i="4"/>
  <c r="D71" i="4"/>
  <c r="D27" i="4"/>
  <c r="D63" i="4"/>
  <c r="D67" i="4"/>
  <c r="D13" i="4"/>
  <c r="D38" i="4"/>
  <c r="D22" i="4"/>
  <c r="D62" i="4"/>
  <c r="D50" i="4"/>
  <c r="D35" i="4"/>
  <c r="D43" i="4"/>
  <c r="D65" i="4"/>
  <c r="D24" i="4"/>
  <c r="D15" i="4"/>
  <c r="D59" i="4"/>
  <c r="D29" i="4"/>
  <c r="D39" i="4"/>
  <c r="D21" i="4"/>
  <c r="D45" i="4"/>
  <c r="D49" i="4"/>
  <c r="D30" i="4"/>
  <c r="D64" i="4"/>
  <c r="D8" i="4"/>
  <c r="D55" i="4"/>
  <c r="D14" i="4"/>
  <c r="D34" i="4"/>
  <c r="D19" i="4"/>
  <c r="D54" i="4"/>
  <c r="D25" i="4"/>
  <c r="D37" i="4"/>
  <c r="D53" i="4"/>
  <c r="D11" i="4"/>
  <c r="D17" i="4"/>
  <c r="D52" i="4"/>
  <c r="D36" i="4"/>
  <c r="D18" i="4"/>
  <c r="D48" i="4"/>
  <c r="D47" i="4"/>
  <c r="D10" i="4"/>
  <c r="D57" i="4"/>
  <c r="D70" i="4"/>
  <c r="D61" i="4"/>
  <c r="D69" i="4"/>
  <c r="D26" i="4"/>
  <c r="D42" i="4"/>
  <c r="D58" i="4"/>
  <c r="D66" i="4"/>
  <c r="Z34" i="1" l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Q26" i="1" l="1"/>
  <c r="Q10" i="1"/>
  <c r="W33" i="1"/>
  <c r="V33" i="1"/>
  <c r="W31" i="1"/>
  <c r="V31" i="1"/>
  <c r="W29" i="1"/>
  <c r="V29" i="1"/>
  <c r="W27" i="1"/>
  <c r="V27" i="1"/>
  <c r="W25" i="1"/>
  <c r="V25" i="1"/>
  <c r="W23" i="1"/>
  <c r="V23" i="1"/>
  <c r="U24" i="1"/>
  <c r="T24" i="1"/>
  <c r="S22" i="1"/>
  <c r="R22" i="1"/>
  <c r="W21" i="1"/>
  <c r="V21" i="1"/>
  <c r="W19" i="1"/>
  <c r="V19" i="1"/>
  <c r="W17" i="1"/>
  <c r="V17" i="1"/>
  <c r="W15" i="1"/>
  <c r="V15" i="1"/>
  <c r="W13" i="1"/>
  <c r="V13" i="1"/>
  <c r="W11" i="1"/>
  <c r="V11" i="1"/>
  <c r="U12" i="1"/>
  <c r="T12" i="1"/>
  <c r="W9" i="1"/>
  <c r="V9" i="1"/>
  <c r="W7" i="1"/>
  <c r="V7" i="1"/>
  <c r="W3" i="1"/>
  <c r="V3" i="1"/>
  <c r="W5" i="1"/>
  <c r="V5" i="1"/>
  <c r="U32" i="1"/>
  <c r="T32" i="1"/>
  <c r="U28" i="1"/>
  <c r="T28" i="1"/>
  <c r="U20" i="1"/>
  <c r="T20" i="1"/>
  <c r="U16" i="1"/>
  <c r="T16" i="1"/>
  <c r="U8" i="1"/>
  <c r="T8" i="1"/>
  <c r="U4" i="1"/>
  <c r="T4" i="1"/>
  <c r="S30" i="1"/>
  <c r="R30" i="1"/>
  <c r="S14" i="1"/>
  <c r="R14" i="1"/>
  <c r="S6" i="1"/>
  <c r="R6" i="1"/>
  <c r="P26" i="1"/>
  <c r="P10" i="1"/>
  <c r="O3" i="1"/>
  <c r="N3" i="1"/>
  <c r="O18" i="1"/>
  <c r="N18" i="1"/>
  <c r="O34" i="1"/>
  <c r="N34" i="1"/>
  <c r="F34" i="1"/>
  <c r="I34" i="1" s="1"/>
  <c r="A34" i="1"/>
  <c r="G34" i="1" s="1"/>
  <c r="F33" i="1"/>
  <c r="I33" i="1" s="1"/>
  <c r="A33" i="1"/>
  <c r="G33" i="1" s="1"/>
  <c r="F32" i="1"/>
  <c r="I32" i="1" s="1"/>
  <c r="A32" i="1"/>
  <c r="G32" i="1" s="1"/>
  <c r="F31" i="1"/>
  <c r="I31" i="1" s="1"/>
  <c r="A31" i="1"/>
  <c r="F30" i="1"/>
  <c r="I30" i="1" s="1"/>
  <c r="A30" i="1"/>
  <c r="F29" i="1"/>
  <c r="I29" i="1" s="1"/>
  <c r="A29" i="1"/>
  <c r="F28" i="1"/>
  <c r="I28" i="1" s="1"/>
  <c r="A28" i="1"/>
  <c r="F27" i="1"/>
  <c r="I27" i="1" s="1"/>
  <c r="A27" i="1"/>
  <c r="F26" i="1"/>
  <c r="I26" i="1" s="1"/>
  <c r="A26" i="1"/>
  <c r="F25" i="1"/>
  <c r="I25" i="1" s="1"/>
  <c r="A25" i="1"/>
  <c r="F24" i="1"/>
  <c r="I24" i="1" s="1"/>
  <c r="A24" i="1"/>
  <c r="F23" i="1"/>
  <c r="I23" i="1" s="1"/>
  <c r="A23" i="1"/>
  <c r="F22" i="1"/>
  <c r="I22" i="1" s="1"/>
  <c r="A22" i="1"/>
  <c r="F21" i="1"/>
  <c r="I21" i="1" s="1"/>
  <c r="A21" i="1"/>
  <c r="F20" i="1"/>
  <c r="I20" i="1" s="1"/>
  <c r="A20" i="1"/>
  <c r="F19" i="1"/>
  <c r="I19" i="1" s="1"/>
  <c r="A19" i="1"/>
  <c r="F18" i="1"/>
  <c r="I18" i="1" s="1"/>
  <c r="A18" i="1"/>
  <c r="F17" i="1"/>
  <c r="I17" i="1" s="1"/>
  <c r="A17" i="1"/>
  <c r="F16" i="1"/>
  <c r="I16" i="1" s="1"/>
  <c r="A16" i="1"/>
  <c r="F15" i="1"/>
  <c r="I15" i="1" s="1"/>
  <c r="A15" i="1"/>
  <c r="F14" i="1"/>
  <c r="I14" i="1" s="1"/>
  <c r="A14" i="1"/>
  <c r="F13" i="1"/>
  <c r="I13" i="1" s="1"/>
  <c r="A13" i="1"/>
  <c r="F12" i="1"/>
  <c r="I12" i="1" s="1"/>
  <c r="A12" i="1"/>
  <c r="F11" i="1"/>
  <c r="I11" i="1" s="1"/>
  <c r="A11" i="1"/>
  <c r="F10" i="1"/>
  <c r="I10" i="1" s="1"/>
  <c r="A10" i="1"/>
  <c r="F9" i="1"/>
  <c r="I9" i="1" s="1"/>
  <c r="A9" i="1"/>
  <c r="F8" i="1"/>
  <c r="I8" i="1" s="1"/>
  <c r="A8" i="1"/>
  <c r="F7" i="1"/>
  <c r="I7" i="1" s="1"/>
  <c r="A7" i="1"/>
  <c r="F6" i="1"/>
  <c r="I6" i="1" s="1"/>
  <c r="A6" i="1"/>
  <c r="G6" i="1" s="1"/>
  <c r="F5" i="1"/>
  <c r="I5" i="1" s="1"/>
  <c r="A5" i="1"/>
  <c r="G5" i="1" s="1"/>
  <c r="F4" i="1"/>
  <c r="I4" i="1" s="1"/>
  <c r="A4" i="1"/>
  <c r="G4" i="1" s="1"/>
  <c r="F3" i="1"/>
  <c r="I3" i="1" s="1"/>
  <c r="A3" i="1"/>
  <c r="G3" i="1" s="1"/>
  <c r="G8" i="1" l="1"/>
  <c r="B8" i="1"/>
  <c r="H8" i="1" s="1"/>
  <c r="G12" i="1"/>
  <c r="B12" i="1"/>
  <c r="H12" i="1" s="1"/>
  <c r="B3" i="1"/>
  <c r="H3" i="1" s="1"/>
  <c r="B4" i="1"/>
  <c r="H4" i="1" s="1"/>
  <c r="B5" i="1"/>
  <c r="H5" i="1" s="1"/>
  <c r="B6" i="1"/>
  <c r="H6" i="1" s="1"/>
  <c r="G7" i="1"/>
  <c r="B7" i="1"/>
  <c r="H7" i="1" s="1"/>
  <c r="G9" i="1"/>
  <c r="B9" i="1"/>
  <c r="H9" i="1" s="1"/>
  <c r="G11" i="1"/>
  <c r="B11" i="1"/>
  <c r="H11" i="1" s="1"/>
  <c r="G13" i="1"/>
  <c r="B13" i="1"/>
  <c r="H13" i="1" s="1"/>
  <c r="G15" i="1"/>
  <c r="B15" i="1"/>
  <c r="H15" i="1" s="1"/>
  <c r="G17" i="1"/>
  <c r="B17" i="1"/>
  <c r="H17" i="1" s="1"/>
  <c r="G19" i="1"/>
  <c r="B19" i="1"/>
  <c r="H19" i="1" s="1"/>
  <c r="G21" i="1"/>
  <c r="B21" i="1"/>
  <c r="H21" i="1" s="1"/>
  <c r="G23" i="1"/>
  <c r="B23" i="1"/>
  <c r="H23" i="1" s="1"/>
  <c r="G25" i="1"/>
  <c r="B25" i="1"/>
  <c r="H25" i="1" s="1"/>
  <c r="G27" i="1"/>
  <c r="B27" i="1"/>
  <c r="H27" i="1" s="1"/>
  <c r="G29" i="1"/>
  <c r="B29" i="1"/>
  <c r="H29" i="1" s="1"/>
  <c r="G31" i="1"/>
  <c r="B31" i="1"/>
  <c r="H31" i="1" s="1"/>
  <c r="G10" i="1"/>
  <c r="B10" i="1"/>
  <c r="H10" i="1" s="1"/>
  <c r="G14" i="1"/>
  <c r="B14" i="1"/>
  <c r="H14" i="1" s="1"/>
  <c r="G16" i="1"/>
  <c r="B16" i="1"/>
  <c r="H16" i="1" s="1"/>
  <c r="G18" i="1"/>
  <c r="B18" i="1"/>
  <c r="H18" i="1" s="1"/>
  <c r="G20" i="1"/>
  <c r="B20" i="1"/>
  <c r="H20" i="1" s="1"/>
  <c r="G22" i="1"/>
  <c r="B22" i="1"/>
  <c r="H22" i="1" s="1"/>
  <c r="G24" i="1"/>
  <c r="B24" i="1"/>
  <c r="H24" i="1" s="1"/>
  <c r="G26" i="1"/>
  <c r="B26" i="1"/>
  <c r="H26" i="1" s="1"/>
  <c r="G28" i="1"/>
  <c r="B28" i="1"/>
  <c r="H28" i="1" s="1"/>
  <c r="G30" i="1"/>
  <c r="B30" i="1"/>
  <c r="H30" i="1" s="1"/>
  <c r="B32" i="1"/>
  <c r="H32" i="1" s="1"/>
  <c r="B33" i="1"/>
  <c r="H33" i="1" s="1"/>
  <c r="B34" i="1"/>
  <c r="H34" i="1" s="1"/>
</calcChain>
</file>

<file path=xl/sharedStrings.xml><?xml version="1.0" encoding="utf-8"?>
<sst xmlns="http://schemas.openxmlformats.org/spreadsheetml/2006/main" count="706" uniqueCount="496">
  <si>
    <t>WizardWrx.SharedUtl2.BitMask32</t>
  </si>
  <si>
    <t>Bit Value</t>
  </si>
  <si>
    <t>Bit #</t>
  </si>
  <si>
    <t>The_32_Bits_of_a_DWORD_constants.TXT</t>
  </si>
  <si>
    <t>Nbr.</t>
  </si>
  <si>
    <t>Offset</t>
  </si>
  <si>
    <t>BitMask32 Public Constants</t>
  </si>
  <si>
    <t>Hex</t>
  </si>
  <si>
    <t>Dec.</t>
  </si>
  <si>
    <t>Nbr.2</t>
  </si>
  <si>
    <t>Offset3</t>
  </si>
  <si>
    <t>Hex4</t>
  </si>
  <si>
    <t>Commented C# Definition</t>
  </si>
  <si>
    <t>Name</t>
  </si>
  <si>
    <t>Decimal</t>
  </si>
  <si>
    <t xml:space="preserve">        Bit  1      = 00000001</t>
  </si>
  <si>
    <t>00000001</t>
  </si>
  <si>
    <t xml:space="preserve">        const UInt32 BIT_01 = 1;             // 00000000000000000000000000000001</t>
  </si>
  <si>
    <t>BIT_01</t>
  </si>
  <si>
    <t>00000000000000000000000000000001</t>
  </si>
  <si>
    <t xml:space="preserve">        Bit  2      = 00000002</t>
  </si>
  <si>
    <t>00000002</t>
  </si>
  <si>
    <t xml:space="preserve">        const UInt32 BIT_02 = 2;             // 00000000000000000000000000000010</t>
  </si>
  <si>
    <t>BIT_02</t>
  </si>
  <si>
    <t>00000000000000000000000000000010</t>
  </si>
  <si>
    <t xml:space="preserve">        Bit  3      = 00000004</t>
  </si>
  <si>
    <t>00000004</t>
  </si>
  <si>
    <t xml:space="preserve">        const UInt32 BIT_03 = 4;             // 00000000000000000000000000000100</t>
  </si>
  <si>
    <t>BIT_03</t>
  </si>
  <si>
    <t>00000000000000000000000000000100</t>
  </si>
  <si>
    <t xml:space="preserve">        Bit  4      = 00000008</t>
  </si>
  <si>
    <t>00000008</t>
  </si>
  <si>
    <t xml:space="preserve">        const UInt32 BIT_04 = 8;             // 00000000000000000000000000001000</t>
  </si>
  <si>
    <t>BIT_04</t>
  </si>
  <si>
    <t>00000000000000000000000000001000</t>
  </si>
  <si>
    <t xml:space="preserve">        Bit  5      = 00000010</t>
  </si>
  <si>
    <t>00000010</t>
  </si>
  <si>
    <t xml:space="preserve">        const UInt32 BIT_05 = 16;            // 00000000000000000000000000010000</t>
  </si>
  <si>
    <t>BIT_05</t>
  </si>
  <si>
    <t>00000000000000000000000000010000</t>
  </si>
  <si>
    <t xml:space="preserve">        Bit  6      = 00000020</t>
  </si>
  <si>
    <t>00000020</t>
  </si>
  <si>
    <t xml:space="preserve">        const UInt32 BIT_06 = 32;            // 00000000000000000000000000100000</t>
  </si>
  <si>
    <t>BIT_06</t>
  </si>
  <si>
    <t>00000000000000000000000000100000</t>
  </si>
  <si>
    <t xml:space="preserve">        Bit  7      = 00000040</t>
  </si>
  <si>
    <t>00000040</t>
  </si>
  <si>
    <t xml:space="preserve">        const UInt32 BIT_07 = 64;            // 00000000000000000000000001000000</t>
  </si>
  <si>
    <t>BIT_07</t>
  </si>
  <si>
    <t>00000000000000000000000001000000</t>
  </si>
  <si>
    <t xml:space="preserve">        Bit  8      = 00000080</t>
  </si>
  <si>
    <t>00000080</t>
  </si>
  <si>
    <t xml:space="preserve">        const UInt32 BIT_08 = 128;           // 00000000000000000000000010000000</t>
  </si>
  <si>
    <t>BIT_08</t>
  </si>
  <si>
    <t>00000000000000000000000010000000</t>
  </si>
  <si>
    <t xml:space="preserve">        Bit  9      = 00000100</t>
  </si>
  <si>
    <t>00000100</t>
  </si>
  <si>
    <t xml:space="preserve">        const UInt32 BIT_09 = 256;           // 00000000000000000000000100000000</t>
  </si>
  <si>
    <t>BIT_09</t>
  </si>
  <si>
    <t>00000000000000000000000100000000</t>
  </si>
  <si>
    <t xml:space="preserve">        Bit 10      = 00000200</t>
  </si>
  <si>
    <t>00000200</t>
  </si>
  <si>
    <t xml:space="preserve">        const UInt32 BIT_10 = 512;           // 00000000000000000000001000000000</t>
  </si>
  <si>
    <t>BIT_10</t>
  </si>
  <si>
    <t>00000000000000000000001000000000</t>
  </si>
  <si>
    <t xml:space="preserve">        Bit 11      = 00000400</t>
  </si>
  <si>
    <t>00000400</t>
  </si>
  <si>
    <t xml:space="preserve">        const UInt32 BIT_11 = 1024;          // 00000000000000000000010000000000</t>
  </si>
  <si>
    <t>BIT_11</t>
  </si>
  <si>
    <t>00000000000000000000010000000000</t>
  </si>
  <si>
    <t xml:space="preserve">        Bit 12      = 00000800</t>
  </si>
  <si>
    <t>00000800</t>
  </si>
  <si>
    <t xml:space="preserve">        const UInt32 BIT_12 = 2048;          // 00000000000000000000100000000000</t>
  </si>
  <si>
    <t>BIT_12</t>
  </si>
  <si>
    <t>00000000000000000000100000000000</t>
  </si>
  <si>
    <t xml:space="preserve">        Bit 13      = 00001000</t>
  </si>
  <si>
    <t>00001000</t>
  </si>
  <si>
    <t xml:space="preserve">        const UInt32 BIT_13 = 4096;          // 00000000000000000001000000000000</t>
  </si>
  <si>
    <t>BIT_13</t>
  </si>
  <si>
    <t>00000000000000000001000000000000</t>
  </si>
  <si>
    <t xml:space="preserve">        Bit 14      = 00002000</t>
  </si>
  <si>
    <t>00002000</t>
  </si>
  <si>
    <t xml:space="preserve">        const UInt32 BIT_14 = 8192;          // 00000000000000000010000000000000</t>
  </si>
  <si>
    <t>BIT_14</t>
  </si>
  <si>
    <t>00000000000000000010000000000000</t>
  </si>
  <si>
    <t xml:space="preserve">        Bit 15      = 00004000</t>
  </si>
  <si>
    <t>00004000</t>
  </si>
  <si>
    <t xml:space="preserve">        const UInt32 BIT_15 = 16384;         // 00000000000000000100000000000000</t>
  </si>
  <si>
    <t>BIT_15</t>
  </si>
  <si>
    <t>00000000000000000100000000000000</t>
  </si>
  <si>
    <t xml:space="preserve">        Bit 16      = 00008000</t>
  </si>
  <si>
    <t>00008000</t>
  </si>
  <si>
    <t xml:space="preserve">        const UInt32 BIT_16 = 32768;         // 00000000000000001000000000000000</t>
  </si>
  <si>
    <t>BIT_16</t>
  </si>
  <si>
    <t>00000000000000001000000000000000</t>
  </si>
  <si>
    <t xml:space="preserve">        Bit 17      = 00010000</t>
  </si>
  <si>
    <t>00010000</t>
  </si>
  <si>
    <t xml:space="preserve">        const UInt32 BIT_17 = 65536;         // 00000000000000010000000000000000</t>
  </si>
  <si>
    <t>BIT_17</t>
  </si>
  <si>
    <t>00000000000000010000000000000000</t>
  </si>
  <si>
    <t xml:space="preserve">        Bit 18      = 00020000</t>
  </si>
  <si>
    <t>00020000</t>
  </si>
  <si>
    <t xml:space="preserve">        const UInt32 BIT_18 = 131072;        // 00000000000000100000000000000000</t>
  </si>
  <si>
    <t>BIT_18</t>
  </si>
  <si>
    <t>00000000000000100000000000000000</t>
  </si>
  <si>
    <t xml:space="preserve">        Bit 19      = 00040000</t>
  </si>
  <si>
    <t>00040000</t>
  </si>
  <si>
    <t xml:space="preserve">        const UInt32 BIT_19 = 262144;        // 00000000000001000000000000000000</t>
  </si>
  <si>
    <t>BIT_19</t>
  </si>
  <si>
    <t>00000000000001000000000000000000</t>
  </si>
  <si>
    <t xml:space="preserve">        Bit 20      = 00080000</t>
  </si>
  <si>
    <t>00080000</t>
  </si>
  <si>
    <t xml:space="preserve">        const UInt32 BIT_20 = 524288;        // 00000000000010000000000000000000</t>
  </si>
  <si>
    <t>BIT_20</t>
  </si>
  <si>
    <t>00000000000010000000000000000000</t>
  </si>
  <si>
    <t xml:space="preserve">        Bit 21      = 00100000</t>
  </si>
  <si>
    <t>00100000</t>
  </si>
  <si>
    <t xml:space="preserve">        const UInt32 BIT_21 = 1048576;       // 00000000000100000000000000000000</t>
  </si>
  <si>
    <t>BIT_21</t>
  </si>
  <si>
    <t>00000000000100000000000000000000</t>
  </si>
  <si>
    <t xml:space="preserve">        Bit 22      = 00200000</t>
  </si>
  <si>
    <t>00200000</t>
  </si>
  <si>
    <t xml:space="preserve">        const UInt32 BIT_22 = 2097152;       // 00000000001000000000000000000000</t>
  </si>
  <si>
    <t>BIT_22</t>
  </si>
  <si>
    <t>00000000001000000000000000000000</t>
  </si>
  <si>
    <t xml:space="preserve">        Bit 23      = 00400000</t>
  </si>
  <si>
    <t>00400000</t>
  </si>
  <si>
    <t xml:space="preserve">        const UInt32 BIT_23 = 4194304;       // 00000000010000000000000000000000</t>
  </si>
  <si>
    <t>BIT_23</t>
  </si>
  <si>
    <t>00000000010000000000000000000000</t>
  </si>
  <si>
    <t xml:space="preserve">        Bit 24      = 00800000</t>
  </si>
  <si>
    <t>00800000</t>
  </si>
  <si>
    <t xml:space="preserve">        const UInt32 BIT_24 = 8388608;       // 00000000100000000000000000000000</t>
  </si>
  <si>
    <t>BIT_24</t>
  </si>
  <si>
    <t>00000000100000000000000000000000</t>
  </si>
  <si>
    <t xml:space="preserve">        Bit 25      = 01000000</t>
  </si>
  <si>
    <t>01000000</t>
  </si>
  <si>
    <t xml:space="preserve">        const UInt32 BIT_25 = 16777216;      // 00000001000000000000000000000000</t>
  </si>
  <si>
    <t>BIT_25</t>
  </si>
  <si>
    <t>00000001000000000000000000000000</t>
  </si>
  <si>
    <t xml:space="preserve">        Bit 26      = 02000000</t>
  </si>
  <si>
    <t>02000000</t>
  </si>
  <si>
    <t xml:space="preserve">        const UInt32 BIT_26 = 33554432;      // 00000010000000000000000000000000</t>
  </si>
  <si>
    <t>BIT_26</t>
  </si>
  <si>
    <t>00000010000000000000000000000000</t>
  </si>
  <si>
    <t xml:space="preserve">        Bit 27      = 04000000</t>
  </si>
  <si>
    <t>04000000</t>
  </si>
  <si>
    <t xml:space="preserve">        const UInt32 BIT_27 = 67108864;      // 00000100000000000000000000000000</t>
  </si>
  <si>
    <t>BIT_27</t>
  </si>
  <si>
    <t>00000100000000000000000000000000</t>
  </si>
  <si>
    <t xml:space="preserve">        Bit 28      = 08000000</t>
  </si>
  <si>
    <t>08000000</t>
  </si>
  <si>
    <t xml:space="preserve">        const UInt32 BIT_28 = 134217728;     // 00001000000000000000000000000000</t>
  </si>
  <si>
    <t>BIT_28</t>
  </si>
  <si>
    <t>00001000000000000000000000000000</t>
  </si>
  <si>
    <t xml:space="preserve">        Bit 29      = 10000000</t>
  </si>
  <si>
    <t>10000000</t>
  </si>
  <si>
    <t xml:space="preserve">        const UInt32 BIT_29 = 268435456;     // 00010000000000000000000000000000</t>
  </si>
  <si>
    <t>BIT_29</t>
  </si>
  <si>
    <t>00010000000000000000000000000000</t>
  </si>
  <si>
    <t xml:space="preserve">        Bit 30      = 20000000</t>
  </si>
  <si>
    <t>20000000</t>
  </si>
  <si>
    <t xml:space="preserve">        const UInt32 BIT_30 = 536870912;     // 00100000000000000000000000000000</t>
  </si>
  <si>
    <t>BIT_30</t>
  </si>
  <si>
    <t>00100000000000000000000000000000</t>
  </si>
  <si>
    <t xml:space="preserve">        Bit 31      = 40000000</t>
  </si>
  <si>
    <t>40000000</t>
  </si>
  <si>
    <t xml:space="preserve">        const UInt32 BIT_31 = 1073741824;    // 01000000000000000000000000000000</t>
  </si>
  <si>
    <t>BIT_31</t>
  </si>
  <si>
    <t>01000000000000000000000000000000</t>
  </si>
  <si>
    <t xml:space="preserve">        Bit 32      = 80000000</t>
  </si>
  <si>
    <t>80000000</t>
  </si>
  <si>
    <t xml:space="preserve">        const UInt32 BIT_32 = 2147483648;    // 10000000000000000000000000000000</t>
  </si>
  <si>
    <t>BIT_32</t>
  </si>
  <si>
    <t>10000000000000000000000000000000</t>
  </si>
  <si>
    <t>Bit Constants</t>
  </si>
  <si>
    <t>Constant</t>
  </si>
  <si>
    <t>Value</t>
  </si>
  <si>
    <t>Level 1</t>
  </si>
  <si>
    <t>Level 2</t>
  </si>
  <si>
    <t>Level 3</t>
  </si>
  <si>
    <t>Level 4</t>
  </si>
  <si>
    <t>Level  5</t>
  </si>
  <si>
    <t>Arrays</t>
  </si>
  <si>
    <t>Bit Values</t>
  </si>
  <si>
    <t>Positions</t>
  </si>
  <si>
    <t>Ordinals</t>
  </si>
  <si>
    <t>Bit 6 On</t>
  </si>
  <si>
    <t>Bi6 6 On Complement</t>
  </si>
  <si>
    <t>Hexadecimal</t>
  </si>
  <si>
    <t>_ubmTheBit (Bit 4)</t>
  </si>
  <si>
    <t>Complement _ubmTheBit (Bit 4)</t>
  </si>
  <si>
    <t>StackTraceDisposition</t>
  </si>
  <si>
    <t>OutputDestination</t>
  </si>
  <si>
    <t>EventLogging</t>
  </si>
  <si>
    <t>InitialFlags</t>
  </si>
  <si>
    <t>FinalFlags</t>
  </si>
  <si>
    <t>Property</t>
  </si>
  <si>
    <t>C:\Documents and Settings\DAG\My Documents\Visual Studio 2010\Projects\WizardWrx_Libs\ApplicationHelpers\ApplicationHelpersTestHarness\ApplicationHelpersTestHarness\Program.cs</t>
  </si>
  <si>
    <t xml:space="preserve">                                 b32Flags.BitOff ( ( int ) BitNumberFromPowerOfTwo.BitNumber ( ( UInt32 ) ExceptionLogger.OutputOptions.StandardError ) );</t>
  </si>
  <si>
    <t xml:space="preserve">                                 b32Flags.BitOff ( ( int ) BitNumberFromPowerOfTwo.BitNumber ( ( UInt32 ) ExceptionLogger.OutputOptions.Stack ) );</t>
  </si>
  <si>
    <t xml:space="preserve">                                 b32Flags.BitOff ( ( int ) BitNumberFromPowerOfTwo.BitNumber ( ( UInt32 ) ExceptionLogger.OutputOptions.EventLog ) );</t>
  </si>
  <si>
    <t>C:\Documents and Settings\DAG\My Documents\Visual Studio 2010\Projects\WizardWrx_Libs\BitMath\BitMath\BitArray32.cs</t>
  </si>
  <si>
    <t xml:space="preserve">                         Thursday, 22 May 2014 - Finally got TurnBitOff right!</t>
  </si>
  <si>
    <t xml:space="preserve">         public void BitOff ( int pintBitNumber )</t>
  </si>
  <si>
    <t xml:space="preserve">         }   // BitOff</t>
  </si>
  <si>
    <t xml:space="preserve">         /// Unlike the BitOff and BitOn operators, everything is already cast to</t>
  </si>
  <si>
    <t xml:space="preserve">         public bool IsBitOff ( int pintBitNumber )</t>
  </si>
  <si>
    <t xml:space="preserve">         }   // IsBitOff</t>
  </si>
  <si>
    <t xml:space="preserve">         public static BitArray32 TurnBitOff ( int pintBitNumber )</t>
  </si>
  <si>
    <t xml:space="preserve">         }   // static TurnBitOff method</t>
  </si>
  <si>
    <t xml:space="preserve">         /// This method and its companion, TurnBitOff, bounds checks its input,</t>
  </si>
  <si>
    <t>C:\Documents and Settings\DAG\My Documents\Visual Studio 2010\Projects\WizardWrx_Libs\BitMath\TestStand\BitArray32TestStand.cs</t>
  </si>
  <si>
    <t xml:space="preserve">             Mask2.BitOff ( 7 );</t>
  </si>
  <si>
    <t xml:space="preserve">             if ( Mask2.IsBitOff ( 10 ) )</t>
  </si>
  <si>
    <t xml:space="preserve">             if ( Mask2.IsBitOff ( 7 ) )</t>
  </si>
  <si>
    <t xml:space="preserve">                             b32Flags.BitOff ( ( int ) BitArray32.BitNumber ( ( UInt32 ) OutputOptions.StandardError ) );</t>
  </si>
  <si>
    <t xml:space="preserve">                             b32Flags.BitOff ( ( int ) BitArray32.BitNumber ( ( UInt32 ) OutputOptions.Stack ) );</t>
  </si>
  <si>
    <t xml:space="preserve">                             b32Flags.BitOff ( ( int ) BitArray32.BitNumber ( ( UInt32 ) OutputOptions.EventLog ) );</t>
  </si>
  <si>
    <t>C:\Documents and Settings\DAG\My Documents\Visual Studio 2010\Projects\WizardWrx_Libs\BitMath\TestStand\Program.cs</t>
  </si>
  <si>
    <t xml:space="preserve">             b32.BitOff ( BIT_6 );</t>
  </si>
  <si>
    <t>C:\Documents and Settings\DAG\My Documents\Visual Studio 2010\Projects\WizardWrx_Libs\SharedUtl2\SharedUtl2\BitMask32.cs</t>
  </si>
  <si>
    <t xml:space="preserve">       public void BitOff ( int pintBitNumber )</t>
  </si>
  <si>
    <t xml:space="preserve">       }   // End of BitOff instance method</t>
  </si>
  <si>
    <t xml:space="preserve">       /// Unlike the BitOff and BitOn operators, everything is already cast to</t>
  </si>
  <si>
    <t xml:space="preserve">       public bool IsBitOff ( int pintBitNumber )</t>
  </si>
  <si>
    <t xml:space="preserve">       }   // End of IsBitOff instance method.</t>
  </si>
  <si>
    <t xml:space="preserve">       public static BitMask32 TurnBitOff ( int pintBitNumber )</t>
  </si>
  <si>
    <t xml:space="preserve">       }   // End of static TurnBitOff method</t>
  </si>
  <si>
    <t xml:space="preserve">       /// This method and its companion, TurnBitOff, bounds checks its input,</t>
  </si>
  <si>
    <t>C:\Documents and Settings\DAG\My Documents\Visual Studio 2010\Projects\WizardWrx_Libs\SharedUtl2\SharedUtl2_Test_Harness\SharedUtl2_Test_Harness\Bitmask32TestHarness.cs</t>
  </si>
  <si>
    <t xml:space="preserve">           Mask2.BitOff ( 7 );</t>
  </si>
  <si>
    <t xml:space="preserve">           if ( Mask2.IsBitOff ( 10 ) )</t>
  </si>
  <si>
    <t xml:space="preserve">           if ( Mask2.IsBitOff ( 7 ) )</t>
  </si>
  <si>
    <t>C:\Documents and Settings\DAG\My Documents\Visual Studio 2010\Projects\WizardWrx_Libs\SharedUtl3\SharedUtl3\BitMask32.cs</t>
  </si>
  <si>
    <t>C:\Documents and Settings\DAG\My Documents\Visual Studio 2010\Projects\WizardWrx_Libs\SharedUtl3\SharedUtl3_TestHarness\SharedUtl3_TestHarness\Bitmask32TestHarness.cs</t>
  </si>
  <si>
    <t>C:\Documents and Settings\DAG\My Documents\Visual Studio 2010\Projects\_Laboratory\MyPlayPen\MyPlayPen\BitMask32.cs</t>
  </si>
  <si>
    <t xml:space="preserve">        public void BitOff ( int pintBitNumber )</t>
  </si>
  <si>
    <t xml:space="preserve">        }   // End of BitOff instance method</t>
  </si>
  <si>
    <t xml:space="preserve">        public bool IsBitOff ( int pintBitNumber )</t>
  </si>
  <si>
    <t xml:space="preserve">        }   // End of IsBitOff instance method.</t>
  </si>
  <si>
    <t xml:space="preserve">        public static BitMask32 TurnBitOff ( int pintBitNumber )</t>
  </si>
  <si>
    <t xml:space="preserve">        }   // End of static TurnBitOff method</t>
  </si>
  <si>
    <t xml:space="preserve">        /// This method and its companion, TurnBitOff, bounds checks its input,</t>
  </si>
  <si>
    <t>C:\Documents and Settings\DAG\My Documents\Visual Studio 2010\Projects\_Laboratory\MyPlayPen\MyPlayPen\Bitmask32TestHarness.cs</t>
  </si>
  <si>
    <t xml:space="preserve">          Mask2.BitOff ( 7 );</t>
  </si>
  <si>
    <t xml:space="preserve">          if ( Mask2.IsBitOff ( 10 ) )</t>
  </si>
  <si>
    <t xml:space="preserve">          if ( Mask2.IsBitOff ( 7 ) )</t>
  </si>
  <si>
    <t>C:\Documents and Settings\DAG\My Documents\Visual Studio 2010\Projects\_Laboratory\MyPlayPen\MyPlayPen\Program.cs</t>
  </si>
  <si>
    <t>C:\Documents and Settings\DAG\My Documents\Visual Studio 2010\Projects\_TESTING WizardWrx Libs\SharedUtl2\SharedUtl2\BitMask32.cs</t>
  </si>
  <si>
    <t xml:space="preserve">      public void BitOff ( int pintBitNumber )</t>
  </si>
  <si>
    <t xml:space="preserve">      }   // End of BitOff instance method</t>
  </si>
  <si>
    <t xml:space="preserve">      /// Unlike the BitOff and BitOn operators, everything is already cast to</t>
  </si>
  <si>
    <t xml:space="preserve">      public bool IsBitOff ( int pintBitNumber )</t>
  </si>
  <si>
    <t xml:space="preserve">      }   // End of IsBitOff instance method.</t>
  </si>
  <si>
    <t xml:space="preserve">      public static BitMask32 TurnBitOff ( int pintBitNumber )</t>
  </si>
  <si>
    <t xml:space="preserve">      }   // End of static TurnBitOff method</t>
  </si>
  <si>
    <t xml:space="preserve">      /// This method and its companion, TurnBitOff, bounds checks its input,</t>
  </si>
  <si>
    <t>C:\Documents and Settings\DAG\My Documents\Visual Studio 2010\Projects\_TESTING WizardWrx Libs\SharedUtl2\SharedUtl2_Test_Harness\SharedUtl2_Test_Harness\Bitmask32TestHarness.cs</t>
  </si>
  <si>
    <t>Fully Qualified File Name</t>
  </si>
  <si>
    <t>Line #</t>
  </si>
  <si>
    <t>Source Code</t>
  </si>
  <si>
    <t>Fully Qualified Directory Name</t>
  </si>
  <si>
    <t>C:\Documents and Settings\DAG\My Documents\Visual Studio 2010\Projects\</t>
  </si>
  <si>
    <t>Visual Studio Project Source Code Root</t>
  </si>
  <si>
    <t>Relative Directory Name</t>
  </si>
  <si>
    <t>Project Name</t>
  </si>
  <si>
    <t>Unqualified File Name</t>
  </si>
  <si>
    <t>Legend</t>
  </si>
  <si>
    <t>User Program</t>
  </si>
  <si>
    <t>100% Proven Class</t>
  </si>
  <si>
    <t>Broken Class</t>
  </si>
  <si>
    <t>Row</t>
  </si>
  <si>
    <t>Ruler</t>
  </si>
  <si>
    <t>Length</t>
  </si>
  <si>
    <t>Tens</t>
  </si>
  <si>
    <t>Units</t>
  </si>
  <si>
    <t>String</t>
  </si>
  <si>
    <t>Comment</t>
  </si>
  <si>
    <t>BIT_RULER_TENS</t>
  </si>
  <si>
    <t>BIT_RULER_UNITS</t>
  </si>
  <si>
    <t>Tens row of ruler for displaying above bit masks</t>
  </si>
  <si>
    <t>Units row of ruler for displaying above bit masks</t>
  </si>
  <si>
    <t>Value must be greater than zero AND divisible by 8.</t>
  </si>
  <si>
    <t>Value must be greater than zero.</t>
  </si>
  <si>
    <t>ERRMSG_BIT_COUNT_OUT_OF_RANGE</t>
  </si>
  <si>
    <t>ERRMSG_BIT_GROUPSIZE_OUT_OF_RANGE</t>
  </si>
  <si>
    <t>Message used by pintBitCount ArgumentOutOfRange exception</t>
  </si>
  <si>
    <t>Message used by pintBitGroupSize ArgumentOutOfRange exception</t>
  </si>
  <si>
    <t>ERRMSG_TYPE_MUST_BE_INTEGERAL</t>
  </si>
  <si>
    <t>Only integeral types are supported.</t>
  </si>
  <si>
    <t>Message used by ptypIntegerType ArgumentException exception</t>
  </si>
  <si>
    <t>new WordLengthMapEntry ( typeof ( sbyte  ) , 1 ,  8 ) ,</t>
  </si>
  <si>
    <t>new WordLengthMapEntry ( typeof ( byte   ) , 1 ,  8 ) ,</t>
  </si>
  <si>
    <t>new WordLengthMapEntry ( typeof ( Int16  ) , 2 , 16 ) ,</t>
  </si>
  <si>
    <t>new WordLengthMapEntry ( typeof ( UInt16 ) , 2 , 16 ) ,</t>
  </si>
  <si>
    <t>new WordLengthMapEntry ( typeof ( Int32  ) , 4 , 32 ) ,</t>
  </si>
  <si>
    <t>new WordLengthMapEntry ( typeof ( UInt32 ) , 4 , 32 ) ,</t>
  </si>
  <si>
    <t>new WordLengthMapEntry ( typeof ( int    ) , 4 , 32 ) ,</t>
  </si>
  <si>
    <t>new WordLengthMapEntry ( typeof ( uint   ) , 4 , 32 ) ,</t>
  </si>
  <si>
    <t>new WordLengthMapEntry ( typeof ( Int64  ) , 8 , 64 ) ,</t>
  </si>
  <si>
    <t>new WordLengthMapEntry ( typeof ( UInt64 ) , 8 , 64 ) ,</t>
  </si>
  <si>
    <t>new WordLengthMapEntry ( typeof ( long   ) , 8 , 64 ) ,</t>
  </si>
  <si>
    <t>new WordLengthMapEntry ( typeof ( ulong  ) , 8 , 64 )</t>
  </si>
  <si>
    <t>Old s_lstWordLengthMap Initializer</t>
  </si>
  <si>
    <t>typeof (</t>
  </si>
  <si>
    <t>static Type [] s_atypIntegerTypes={</t>
  </si>
  <si>
    <t>); // s_atypIntegerTypes</t>
  </si>
  <si>
    <t>Type SByte      GUID = b4cd2bca7e3ae83380edd32475adef33</t>
  </si>
  <si>
    <t>Type Byte       GUID = 4073959bbaad343291ea46a5c9bff530</t>
  </si>
  <si>
    <t>Type Int16      GUID = 34af6d20a55b04358a19d57699561886</t>
  </si>
  <si>
    <t>Type UInt16     GUID = b728090fdd11dd31a0d5bb008ae887bf</t>
  </si>
  <si>
    <t>Type Int32      GUID = ddfa10a3337c7c379d6b599b0317d7f2</t>
  </si>
  <si>
    <t>Type UInt32     GUID = 404e854f6daf303d860ae9722c85e9a3</t>
  </si>
  <si>
    <t>Type Int64      GUID = f5ec1cadad5fcf3ead892febd6521fa9</t>
  </si>
  <si>
    <t>Type UInt64     GUID = 6b7dad62cc52d43ea20d1a32ef6bf1da</t>
  </si>
  <si>
    <t>Type GUIDs Generated by BitMath Test Stand</t>
  </si>
  <si>
    <t>};  // s_astrIntegerTypeCompactGUIDs</t>
  </si>
  <si>
    <t>static readonly string [] s_astrIntegerTypeCompactGUIDs={</t>
  </si>
  <si>
    <t>short</t>
  </si>
  <si>
    <t>ushort</t>
  </si>
  <si>
    <t>Compact GUID</t>
  </si>
  <si>
    <t>Ordinal</t>
  </si>
  <si>
    <t>4073959bbaad343291ea46a5c9bff530</t>
  </si>
  <si>
    <t>34af6d20a55b04358a19d57699561886</t>
  </si>
  <si>
    <t>System.Byte</t>
  </si>
  <si>
    <t>System.Int16</t>
  </si>
  <si>
    <t>System.UInt16</t>
  </si>
  <si>
    <t>b728090fdd11dd31a0d5bb008ae887bf</t>
  </si>
  <si>
    <t>ddfa10a3337c7c379d6b599b0317d7f2</t>
  </si>
  <si>
    <t>System.Int32</t>
  </si>
  <si>
    <t>System.UInt32</t>
  </si>
  <si>
    <t>404e854f6daf303d860ae9722c85e9a3</t>
  </si>
  <si>
    <t>f5ec1cadad5fcf3ead892febd6521fa9</t>
  </si>
  <si>
    <t>6b7dad62cc52d43ea20d1a32ef6bf1da</t>
  </si>
  <si>
    <t>sbyte</t>
  </si>
  <si>
    <t>typeof ( sbyte ) ,</t>
  </si>
  <si>
    <t>byte</t>
  </si>
  <si>
    <t>typeof ( byte ) ,</t>
  </si>
  <si>
    <t/>
  </si>
  <si>
    <t>Int16</t>
  </si>
  <si>
    <t>typeof ( Int16 ) ,</t>
  </si>
  <si>
    <t>UInt16</t>
  </si>
  <si>
    <t>typeof ( UInt16 ) ,</t>
  </si>
  <si>
    <t>Int32</t>
  </si>
  <si>
    <t>typeof ( Int32 ) ,</t>
  </si>
  <si>
    <t>UInt32</t>
  </si>
  <si>
    <t>typeof ( UInt32 ) ,</t>
  </si>
  <si>
    <t>int</t>
  </si>
  <si>
    <t>typeof ( int ) ,</t>
  </si>
  <si>
    <t>uint</t>
  </si>
  <si>
    <t>typeof ( uint ) ,</t>
  </si>
  <si>
    <t>Int64</t>
  </si>
  <si>
    <t>typeof ( Int64 ) ,</t>
  </si>
  <si>
    <t>UInt64</t>
  </si>
  <si>
    <t>typeof ( UInt64 ) ,</t>
  </si>
  <si>
    <t>long</t>
  </si>
  <si>
    <t>typeof ( long ) ,</t>
  </si>
  <si>
    <t>ulong</t>
  </si>
  <si>
    <t>typeof ( ulong ) ,</t>
  </si>
  <si>
    <t>"b4cd2bca7e3ae83380edd32475adef33" , // sbyte</t>
  </si>
  <si>
    <t>"4073959bbaad343291ea46a5c9bff530" , // byte</t>
  </si>
  <si>
    <t>"34af6d20a55b04358a19d57699561886" , // Int16</t>
  </si>
  <si>
    <t>"b728090fdd11dd31a0d5bb008ae887bf" , // UInt16</t>
  </si>
  <si>
    <t>"34af6d20a55b04358a19d57699561886" , // short</t>
  </si>
  <si>
    <t>"b728090fdd11dd31a0d5bb008ae887bf" , // ushort</t>
  </si>
  <si>
    <t>"ddfa10a3337c7c379d6b599b0317d7f2" , // Int32</t>
  </si>
  <si>
    <t>"404e854f6daf303d860ae9722c85e9a3" , // UInt32</t>
  </si>
  <si>
    <t>"ddfa10a3337c7c379d6b599b0317d7f2" , // int</t>
  </si>
  <si>
    <t>"404e854f6daf303d860ae9722c85e9a3" , // uint</t>
  </si>
  <si>
    <t>"f5ec1cadad5fcf3ead892febd6521fa9" , // Int64</t>
  </si>
  <si>
    <t>"6b7dad62cc52d43ea20d1a32ef6bf1da" , // UInt64</t>
  </si>
  <si>
    <t>"f5ec1cadad5fcf3ead892febd6521fa9" , // long</t>
  </si>
  <si>
    <t>"6b7dad62cc52d43ea20d1a32ef6bf1da" , // ulong</t>
  </si>
  <si>
    <t>b4cd2bca7e3ae83380edd32475adef33</t>
  </si>
  <si>
    <t>34af6d20a55b04358a19d57699561886 Count</t>
  </si>
  <si>
    <t>404e854f6daf303d860ae9722c85e9a3 Count</t>
  </si>
  <si>
    <t>4073959bbaad343291ea46a5c9bff530 Count</t>
  </si>
  <si>
    <t>6b7dad62cc52d43ea20d1a32ef6bf1da Count</t>
  </si>
  <si>
    <t>b4cd2bca7e3ae83380edd32475adef33 Count</t>
  </si>
  <si>
    <t>b728090fdd11dd31a0d5bb008ae887bf Count</t>
  </si>
  <si>
    <t>ddfa10a3337c7c379d6b599b0317d7f2 Count</t>
  </si>
  <si>
    <t>f5ec1cadad5fcf3ead892febd6521fa9 Count</t>
  </si>
  <si>
    <t>Grand Count</t>
  </si>
  <si>
    <t>Enumerating maximum legal values for integral types known to the BCL</t>
  </si>
  <si>
    <t>Maximum Value</t>
  </si>
  <si>
    <t>Maximum (Hex)</t>
  </si>
  <si>
    <t xml:space="preserve">    1: Type System.Byte        GUID = 4073959bbaad343291ea46a5c9bff530, Maximum value =                  255, digit count =  3</t>
  </si>
  <si>
    <t xml:space="preserve">    2: Type System.Int16       GUID = 34af6d20a55b04358a19d57699561886, Maximum value =                32767, digit count =  5</t>
  </si>
  <si>
    <t xml:space="preserve">    3: Type System.UInt16      GUID = b728090fdd11dd31a0d5bb008ae887bf, Maximum value =                65535, digit count =  5</t>
  </si>
  <si>
    <t xml:space="preserve">    4: Type System.Int32       GUID = ddfa10a3337c7c379d6b599b0317d7f2, Maximum value =           2147483647, digit count = 10</t>
  </si>
  <si>
    <t xml:space="preserve">    5: Type System.UInt32      GUID = 404e854f6daf303d860ae9722c85e9a3, Maximum value =           4294967295, digit count = 10</t>
  </si>
  <si>
    <t xml:space="preserve">    6: Type System.Int64       GUID = f5ec1cadad5fcf3ead892febd6521fa9, Maximum value =  9223372036854775807, digit count = 19</t>
  </si>
  <si>
    <t xml:space="preserve">    7: Type System.UInt64      GUID = 6b7dad62cc52d43ea20d1a32ef6bf1da, Maximum value = 18446744073709551615, digit count = 20</t>
  </si>
  <si>
    <t>Upper limit of DEC2HEX Input Value</t>
  </si>
  <si>
    <t>https://support.office.com/en-us/article/DEC2HEX-function-6344ee8b-b6b5-4c6a-a672-f64666704619</t>
  </si>
  <si>
    <t>Digits</t>
  </si>
  <si>
    <t>BCL Properties</t>
  </si>
  <si>
    <t>Full Name</t>
  </si>
  <si>
    <t>Type GUID</t>
  </si>
  <si>
    <t>Bytes</t>
  </si>
  <si>
    <t>Bits</t>
  </si>
  <si>
    <t>Signed</t>
  </si>
  <si>
    <t>Order</t>
  </si>
  <si>
    <t xml:space="preserve">    1 = 34af6d20a55b04358a19d57699561886</t>
  </si>
  <si>
    <t xml:space="preserve">    2 = 404e854f6daf303d860ae9722c85e9a3</t>
  </si>
  <si>
    <t xml:space="preserve">    3 = 4073959bbaad343291ea46a5c9bff530</t>
  </si>
  <si>
    <t xml:space="preserve">    4 = 6b7dad62cc52d43ea20d1a32ef6bf1da</t>
  </si>
  <si>
    <t xml:space="preserve">    5 = b728090fdd11dd31a0d5bb008ae887bf</t>
  </si>
  <si>
    <t xml:space="preserve">    6 = ddfa10a3337c7c379d6b599b0317d7f2</t>
  </si>
  <si>
    <t xml:space="preserve">    7 = f5ec1cadad5fcf3ead892febd6521fa9</t>
  </si>
  <si>
    <t>Sorted by TestStand.exe</t>
  </si>
  <si>
    <t>GUID Sorted by Excel</t>
  </si>
  <si>
    <t>Same Order</t>
  </si>
  <si>
    <t>Name, for Lookup</t>
  </si>
  <si>
    <t>Old</t>
  </si>
  <si>
    <t>New</t>
  </si>
  <si>
    <t>BCLIntegerTypeInfo Properties</t>
  </si>
  <si>
    <t>CompactGUIDString</t>
  </si>
  <si>
    <t>BCLType</t>
  </si>
  <si>
    <t>MaximumDecimalDigits</t>
  </si>
  <si>
    <t>RequiredStorageBytes</t>
  </si>
  <si>
    <t>CapacityInBits</t>
  </si>
  <si>
    <t>IsSigned</t>
  </si>
  <si>
    <t>Sorting Proofs</t>
  </si>
  <si>
    <t>Definition</t>
  </si>
  <si>
    <t>Array Subscript Constants</t>
  </si>
  <si>
    <t>Public Array Definition</t>
  </si>
  <si>
    <t>GUIDPerType</t>
  </si>
  <si>
    <t>9b957340-adba-3234-91ea-46a5c9bff530</t>
  </si>
  <si>
    <t>206daf34-5ba5-3504-8a19-d57699561886</t>
  </si>
  <si>
    <t>0f0928b7-11dd-31dd-a0d5-bb008ae887bf</t>
  </si>
  <si>
    <t>a310fadd-7c33-377c-9d6b-599b0317d7f2</t>
  </si>
  <si>
    <t>4f854e40-af6d-3d30-860a-e9722c85e9a3</t>
  </si>
  <si>
    <t>ad1cecf5-5fad-3ecf-ad89-2febd6521fa9</t>
  </si>
  <si>
    <t>62ad7d6b-52cc-3ed4-a20d-1a32ef6bf1da</t>
  </si>
  <si>
    <t>System.Int64</t>
  </si>
  <si>
    <t>System.UInt64</t>
  </si>
  <si>
    <t>CompactGUIDString=4073959bbaad343291ea46a5c9bff530</t>
  </si>
  <si>
    <t>CompactGUIDString=34af6d20a55b04358a19d57699561886</t>
  </si>
  <si>
    <t>CompactGUIDString=b728090fdd11dd31a0d5bb008ae887bf</t>
  </si>
  <si>
    <t>CompactGUIDString=ddfa10a3337c7c379d6b599b0317d7f2</t>
  </si>
  <si>
    <t>CompactGUIDString=404e854f6daf303d860ae9722c85e9a3</t>
  </si>
  <si>
    <t>CompactGUIDString=f5ec1cadad5fcf3ead892febd6521fa9</t>
  </si>
  <si>
    <t>CompactGUIDString=6b7dad62cc52d43ea20d1a32ef6bf1da</t>
  </si>
  <si>
    <t>Fully Qualified Type</t>
  </si>
  <si>
    <t>Compact GUID String</t>
  </si>
  <si>
    <t>System.Sbyte</t>
  </si>
  <si>
    <t>Enumerating character values of hexadecimal digits</t>
  </si>
  <si>
    <t xml:space="preserve">    Decimal value  1 = 0 (numeric value =  48, hex = 0x30)</t>
  </si>
  <si>
    <t xml:space="preserve">    Decimal value  2 = 1 (numeric value =  49, hex = 0x31)</t>
  </si>
  <si>
    <t xml:space="preserve">    Decimal value  3 = 2 (numeric value =  50, hex = 0x32)</t>
  </si>
  <si>
    <t xml:space="preserve">    Decimal value  4 = 3 (numeric value =  51, hex = 0x33)</t>
  </si>
  <si>
    <t xml:space="preserve">    Decimal value  5 = 4 (numeric value =  52, hex = 0x34)</t>
  </si>
  <si>
    <t xml:space="preserve">    Decimal value  6 = 5 (numeric value =  53, hex = 0x35)</t>
  </si>
  <si>
    <t xml:space="preserve">    Decimal value  7 = 6 (numeric value =  54, hex = 0x36)</t>
  </si>
  <si>
    <t xml:space="preserve">    Decimal value  8 = 7 (numeric value =  55, hex = 0x37)</t>
  </si>
  <si>
    <t xml:space="preserve">    Decimal value  9 = 8 (numeric value =  56, hex = 0x38)</t>
  </si>
  <si>
    <t xml:space="preserve">    Decimal value 10 = 9 (numeric value =  57, hex = 0x39)</t>
  </si>
  <si>
    <t xml:space="preserve">    Decimal value 11 = a (numeric value =  97, hex = 0x61)</t>
  </si>
  <si>
    <t xml:space="preserve">    Decimal value 12 = b (numeric value =  98, hex = 0x62)</t>
  </si>
  <si>
    <t xml:space="preserve">    Decimal value 13 = c (numeric value =  99, hex = 0x63)</t>
  </si>
  <si>
    <t xml:space="preserve">    Decimal value 14 = d (numeric value = 100, hex = 0x64)</t>
  </si>
  <si>
    <t xml:space="preserve">    Decimal value 15 = e (numeric value = 101, hex = 0x65)</t>
  </si>
  <si>
    <t xml:space="preserve">    Decimal value 16 = f (numeric value = 102, hex = 0x66)</t>
  </si>
  <si>
    <t>That's it for the hexadecimal digits.</t>
  </si>
  <si>
    <t>Char</t>
  </si>
  <si>
    <t>s_abytAsBits</t>
  </si>
  <si>
    <t>s_achrHexDigit</t>
  </si>
  <si>
    <t>This is the units row of a ruler for displaying above normal (High to Low) bit masks. This string contains exactly 64 characters, as does the corresponding tens string.</t>
  </si>
  <si>
    <t>HighToLow</t>
  </si>
  <si>
    <t>This is the tens row of a ruler for displaying above normal (High to Low) bit masks This string contains exactly 64 characters, as does the corresponding units string.</t>
  </si>
  <si>
    <t>This is the units row of a ruler for displaying above reversed (Low to High)  bit masks. This string contains exactly 64 characters, as does the corresponding tens string.</t>
  </si>
  <si>
    <t>LowToHigh</t>
  </si>
  <si>
    <t>This is the tens row of a ruler for displaying above reversed (Low to High)  bit masks This string contains exactly 64 characters, as does the corresponding units string.</t>
  </si>
  <si>
    <t>Revised</t>
  </si>
  <si>
    <t>Original</t>
  </si>
  <si>
    <t>Group</t>
  </si>
  <si>
    <t>Comment for .RESX File</t>
  </si>
  <si>
    <t>Resource ID</t>
  </si>
  <si>
    <t>String Literals</t>
  </si>
  <si>
    <t>0123456789012345678901234567890123456789012345678901234567890123</t>
  </si>
  <si>
    <t>3210987654321098765432109876543210987654321098765432109876543210</t>
  </si>
  <si>
    <t xml:space="preserve">          1         2         3         4         5         6   </t>
  </si>
  <si>
    <t xml:space="preserve">   6         5         4         3         2         1          </t>
  </si>
  <si>
    <t>static readonly BitArray32.BitCount [ ] s_aenmBitCount =</t>
  </si>
  <si>
    <t>{</t>
  </si>
  <si>
    <t>BitArray32.BitCount.Unspecified ,</t>
  </si>
  <si>
    <t>BitArray32.BitCount.Count08 ,</t>
  </si>
  <si>
    <t>BitArray32.BitCount.Count16 ,</t>
  </si>
  <si>
    <t>BitArray32.BitCount.Count32 ,</t>
  </si>
  <si>
    <t>BitArray32.BitCount.Count64</t>
  </si>
  <si>
    <t>};</t>
  </si>
  <si>
    <t>// s_aenmBitCount</t>
  </si>
  <si>
    <t>BitArray32.BitCount</t>
  </si>
  <si>
    <t>Test Bit Mask (Decimal)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</si>
</sst>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onsolas"/>
      <family val="2"/>
    </font>
    <font>
      <b/>
      <sz val="16"/>
      <color rgb="FFFFFF00"/>
      <name val="Tahoma"/>
      <family val="2"/>
    </font>
    <font>
      <b/>
      <sz val="12"/>
      <color theme="0"/>
      <name val="Tahoma"/>
      <family val="2"/>
    </font>
    <font>
      <sz val="11"/>
      <color theme="1"/>
      <name val="Tahoma"/>
      <family val="2"/>
    </font>
    <font>
      <b/>
      <sz val="11"/>
      <color theme="0"/>
      <name val="Tahoma"/>
      <family val="2"/>
    </font>
    <font>
      <b/>
      <sz val="14"/>
      <color theme="0"/>
      <name val="Tahoma"/>
      <family val="2"/>
    </font>
    <font>
      <b/>
      <sz val="12"/>
      <color theme="1"/>
      <name val="Tahoma"/>
      <family val="2"/>
    </font>
    <font>
      <b/>
      <sz val="14"/>
      <color rgb="FFFFC000"/>
      <name val="Tahoma"/>
      <family val="2"/>
    </font>
    <font>
      <sz val="11"/>
      <color rgb="FFFFFF00"/>
      <name val="Consolas"/>
      <family val="2"/>
    </font>
    <font>
      <b/>
      <sz val="11"/>
      <color theme="5" tint="-0.499984740745262"/>
      <name val="Consolas"/>
      <family val="3"/>
    </font>
    <font>
      <b/>
      <sz val="12"/>
      <color theme="5" tint="-0.499984740745262"/>
      <name val="Tahoma"/>
      <family val="2"/>
    </font>
    <font>
      <b/>
      <sz val="12"/>
      <color theme="6" tint="-0.499984740745262"/>
      <name val="Tahoma"/>
      <family val="2"/>
    </font>
    <font>
      <b/>
      <sz val="11"/>
      <color theme="6" tint="-0.499984740745262"/>
      <name val="Consolas"/>
      <family val="3"/>
    </font>
    <font>
      <b/>
      <sz val="14"/>
      <color theme="9" tint="-0.499984740745262"/>
      <name val="Tahoma"/>
      <family val="2"/>
    </font>
    <font>
      <b/>
      <sz val="14"/>
      <color theme="1"/>
      <name val="Tahoma"/>
      <family val="2"/>
    </font>
    <font>
      <b/>
      <sz val="14"/>
      <color rgb="FF7030A0"/>
      <name val="Tahoma"/>
      <family val="2"/>
    </font>
    <font>
      <u/>
      <sz val="11"/>
      <color theme="10"/>
      <name val="Consolas"/>
      <family val="2"/>
    </font>
    <font>
      <b/>
      <sz val="14"/>
      <color theme="1" tint="0.499984740745262"/>
      <name val="Tahoma"/>
      <family val="2"/>
    </font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0"/>
      <color theme="1"/>
      <name val="Tahoma"/>
      <family val="2"/>
    </font>
    <font>
      <b/>
      <sz val="12"/>
      <color rgb="FF0070C0"/>
      <name val="Tahoma"/>
      <family val="2"/>
    </font>
    <font>
      <b/>
      <sz val="18"/>
      <color rgb="FF7030A0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030A0"/>
        <bgColor indexed="64"/>
      </patternFill>
    </fill>
  </fills>
  <borders count="42">
    <border>
      <left/>
      <right/>
      <top/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5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5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4" tint="0.39997558519241921"/>
      </left>
      <right/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rgb="FFFFC000"/>
      </top>
      <bottom style="thin">
        <color theme="6" tint="-0.499984740745262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 style="thin">
        <color rgb="FF7030A0"/>
      </right>
      <top/>
      <bottom style="thin">
        <color rgb="FF7030A0"/>
      </bottom>
      <diagonal/>
    </border>
    <border>
      <left style="thin">
        <color rgb="FF7030A0"/>
      </left>
      <right/>
      <top style="thin">
        <color rgb="FF7030A0"/>
      </top>
      <bottom style="thin">
        <color rgb="FF7030A0"/>
      </bottom>
      <diagonal/>
    </border>
    <border>
      <left/>
      <right style="thin">
        <color rgb="FF7030A0"/>
      </right>
      <top style="thin">
        <color rgb="FF7030A0"/>
      </top>
      <bottom style="thin">
        <color rgb="FF7030A0"/>
      </bottom>
      <diagonal/>
    </border>
    <border>
      <left/>
      <right/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FFC000"/>
      </top>
      <bottom style="thin">
        <color rgb="FF7030A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118">
    <xf numFmtId="0" fontId="0" fillId="0" borderId="0" xfId="0"/>
    <xf numFmtId="0" fontId="2" fillId="2" borderId="4" xfId="0" applyFont="1" applyFill="1" applyBorder="1"/>
    <xf numFmtId="0" fontId="2" fillId="2" borderId="5" xfId="0" applyFont="1" applyFill="1" applyBorder="1"/>
    <xf numFmtId="0" fontId="2" fillId="2" borderId="5" xfId="0" applyFont="1" applyFill="1" applyBorder="1" applyAlignment="1">
      <alignment horizontal="right"/>
    </xf>
    <xf numFmtId="0" fontId="2" fillId="2" borderId="6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49" fontId="0" fillId="3" borderId="5" xfId="0" applyNumberFormat="1" applyFont="1" applyFill="1" applyBorder="1"/>
    <xf numFmtId="3" fontId="0" fillId="3" borderId="5" xfId="0" applyNumberFormat="1" applyFont="1" applyFill="1" applyBorder="1"/>
    <xf numFmtId="49" fontId="0" fillId="3" borderId="6" xfId="0" applyNumberFormat="1" applyFont="1" applyFill="1" applyBorder="1"/>
    <xf numFmtId="0" fontId="0" fillId="0" borderId="4" xfId="0" applyFont="1" applyBorder="1"/>
    <xf numFmtId="0" fontId="0" fillId="0" borderId="5" xfId="0" applyFont="1" applyBorder="1"/>
    <xf numFmtId="49" fontId="0" fillId="0" borderId="5" xfId="0" applyNumberFormat="1" applyFont="1" applyBorder="1"/>
    <xf numFmtId="3" fontId="0" fillId="0" borderId="5" xfId="0" applyNumberFormat="1" applyFont="1" applyBorder="1"/>
    <xf numFmtId="49" fontId="0" fillId="0" borderId="6" xfId="0" applyNumberFormat="1" applyFont="1" applyBorder="1"/>
    <xf numFmtId="0" fontId="0" fillId="0" borderId="1" xfId="0" applyFont="1" applyBorder="1"/>
    <xf numFmtId="0" fontId="0" fillId="0" borderId="2" xfId="0" applyFont="1" applyBorder="1"/>
    <xf numFmtId="49" fontId="0" fillId="0" borderId="2" xfId="0" applyNumberFormat="1" applyFont="1" applyBorder="1"/>
    <xf numFmtId="3" fontId="0" fillId="0" borderId="2" xfId="0" applyNumberFormat="1" applyFont="1" applyBorder="1"/>
    <xf numFmtId="49" fontId="0" fillId="0" borderId="3" xfId="0" applyNumberFormat="1" applyFont="1" applyBorder="1"/>
    <xf numFmtId="0" fontId="0" fillId="0" borderId="6" xfId="0" applyNumberFormat="1" applyFont="1" applyBorder="1"/>
    <xf numFmtId="0" fontId="0" fillId="3" borderId="6" xfId="0" applyNumberFormat="1" applyFont="1" applyFill="1" applyBorder="1"/>
    <xf numFmtId="0" fontId="0" fillId="0" borderId="3" xfId="0" applyNumberFormat="1" applyFont="1" applyBorder="1"/>
    <xf numFmtId="0" fontId="1" fillId="2" borderId="2" xfId="0" applyFont="1" applyFill="1" applyBorder="1" applyAlignment="1"/>
    <xf numFmtId="0" fontId="2" fillId="2" borderId="5" xfId="0" applyFont="1" applyFill="1" applyBorder="1" applyAlignment="1">
      <alignment horizontal="left"/>
    </xf>
    <xf numFmtId="3" fontId="0" fillId="0" borderId="0" xfId="0" applyNumberFormat="1"/>
    <xf numFmtId="0" fontId="4" fillId="2" borderId="4" xfId="0" applyFont="1" applyFill="1" applyBorder="1"/>
    <xf numFmtId="0" fontId="4" fillId="2" borderId="5" xfId="0" applyFont="1" applyFill="1" applyBorder="1"/>
    <xf numFmtId="0" fontId="0" fillId="0" borderId="8" xfId="0" applyFont="1" applyBorder="1"/>
    <xf numFmtId="0" fontId="4" fillId="4" borderId="10" xfId="0" applyFont="1" applyFill="1" applyBorder="1"/>
    <xf numFmtId="0" fontId="4" fillId="4" borderId="11" xfId="0" applyFont="1" applyFill="1" applyBorder="1"/>
    <xf numFmtId="0" fontId="0" fillId="5" borderId="10" xfId="0" applyFont="1" applyFill="1" applyBorder="1"/>
    <xf numFmtId="0" fontId="0" fillId="5" borderId="11" xfId="0" applyFont="1" applyFill="1" applyBorder="1"/>
    <xf numFmtId="0" fontId="0" fillId="0" borderId="10" xfId="0" applyFont="1" applyBorder="1"/>
    <xf numFmtId="0" fontId="0" fillId="0" borderId="11" xfId="0" applyFont="1" applyBorder="1"/>
    <xf numFmtId="0" fontId="0" fillId="0" borderId="7" xfId="0" applyFont="1" applyBorder="1"/>
    <xf numFmtId="0" fontId="0" fillId="0" borderId="13" xfId="0" applyFont="1" applyBorder="1"/>
    <xf numFmtId="0" fontId="0" fillId="0" borderId="14" xfId="0" applyFont="1" applyBorder="1"/>
    <xf numFmtId="0" fontId="4" fillId="6" borderId="15" xfId="0" applyFont="1" applyFill="1" applyBorder="1"/>
    <xf numFmtId="0" fontId="4" fillId="6" borderId="16" xfId="0" applyFont="1" applyFill="1" applyBorder="1"/>
    <xf numFmtId="0" fontId="4" fillId="6" borderId="17" xfId="0" applyFont="1" applyFill="1" applyBorder="1"/>
    <xf numFmtId="0" fontId="0" fillId="7" borderId="15" xfId="0" applyFont="1" applyFill="1" applyBorder="1"/>
    <xf numFmtId="0" fontId="0" fillId="7" borderId="16" xfId="0" applyFont="1" applyFill="1" applyBorder="1"/>
    <xf numFmtId="0" fontId="0" fillId="7" borderId="17" xfId="0" applyFont="1" applyFill="1" applyBorder="1"/>
    <xf numFmtId="0" fontId="0" fillId="0" borderId="15" xfId="0" applyFont="1" applyBorder="1"/>
    <xf numFmtId="0" fontId="0" fillId="0" borderId="16" xfId="0" applyFont="1" applyBorder="1"/>
    <xf numFmtId="0" fontId="0" fillId="0" borderId="17" xfId="0" applyFont="1" applyBorder="1"/>
    <xf numFmtId="0" fontId="0" fillId="0" borderId="12" xfId="0" applyFont="1" applyBorder="1"/>
    <xf numFmtId="0" fontId="3" fillId="0" borderId="18" xfId="0" applyFont="1" applyBorder="1"/>
    <xf numFmtId="3" fontId="0" fillId="0" borderId="19" xfId="0" applyNumberFormat="1" applyFont="1" applyBorder="1"/>
    <xf numFmtId="0" fontId="0" fillId="0" borderId="20" xfId="0" applyFont="1" applyBorder="1"/>
    <xf numFmtId="0" fontId="3" fillId="9" borderId="21" xfId="0" applyFont="1" applyFill="1" applyBorder="1"/>
    <xf numFmtId="0" fontId="0" fillId="9" borderId="22" xfId="0" applyFont="1" applyFill="1" applyBorder="1"/>
    <xf numFmtId="0" fontId="0" fillId="9" borderId="23" xfId="0" applyFont="1" applyFill="1" applyBorder="1"/>
    <xf numFmtId="0" fontId="3" fillId="0" borderId="21" xfId="0" applyFont="1" applyBorder="1"/>
    <xf numFmtId="3" fontId="0" fillId="0" borderId="22" xfId="0" applyNumberFormat="1" applyFont="1" applyBorder="1"/>
    <xf numFmtId="0" fontId="0" fillId="0" borderId="23" xfId="0" applyFont="1" applyBorder="1"/>
    <xf numFmtId="0" fontId="5" fillId="8" borderId="21" xfId="0" applyFont="1" applyFill="1" applyBorder="1"/>
    <xf numFmtId="0" fontId="5" fillId="8" borderId="22" xfId="0" applyFont="1" applyFill="1" applyBorder="1" applyAlignment="1">
      <alignment horizontal="right"/>
    </xf>
    <xf numFmtId="0" fontId="5" fillId="8" borderId="23" xfId="0" applyFont="1" applyFill="1" applyBorder="1"/>
    <xf numFmtId="0" fontId="7" fillId="10" borderId="24" xfId="0" applyFont="1" applyFill="1" applyBorder="1"/>
    <xf numFmtId="0" fontId="0" fillId="0" borderId="26" xfId="0" applyBorder="1"/>
    <xf numFmtId="0" fontId="8" fillId="12" borderId="25" xfId="0" applyFont="1" applyFill="1" applyBorder="1"/>
    <xf numFmtId="0" fontId="8" fillId="12" borderId="26" xfId="0" applyFont="1" applyFill="1" applyBorder="1"/>
    <xf numFmtId="0" fontId="9" fillId="13" borderId="25" xfId="0" applyFont="1" applyFill="1" applyBorder="1"/>
    <xf numFmtId="49" fontId="9" fillId="13" borderId="25" xfId="0" applyNumberFormat="1" applyFont="1" applyFill="1" applyBorder="1"/>
    <xf numFmtId="0" fontId="9" fillId="13" borderId="26" xfId="0" applyFont="1" applyFill="1" applyBorder="1"/>
    <xf numFmtId="49" fontId="9" fillId="13" borderId="26" xfId="0" applyNumberFormat="1" applyFont="1" applyFill="1" applyBorder="1"/>
    <xf numFmtId="0" fontId="10" fillId="13" borderId="25" xfId="0" applyFont="1" applyFill="1" applyBorder="1"/>
    <xf numFmtId="0" fontId="11" fillId="14" borderId="26" xfId="0" applyFont="1" applyFill="1" applyBorder="1"/>
    <xf numFmtId="0" fontId="12" fillId="14" borderId="26" xfId="0" applyFont="1" applyFill="1" applyBorder="1"/>
    <xf numFmtId="49" fontId="12" fillId="14" borderId="26" xfId="0" applyNumberFormat="1" applyFont="1" applyFill="1" applyBorder="1"/>
    <xf numFmtId="0" fontId="6" fillId="11" borderId="26" xfId="0" applyFont="1" applyFill="1" applyBorder="1"/>
    <xf numFmtId="0" fontId="0" fillId="11" borderId="26" xfId="0" applyFill="1" applyBorder="1"/>
    <xf numFmtId="49" fontId="0" fillId="11" borderId="26" xfId="0" applyNumberFormat="1" applyFill="1" applyBorder="1"/>
    <xf numFmtId="0" fontId="13" fillId="16" borderId="28" xfId="0" applyFont="1" applyFill="1" applyBorder="1"/>
    <xf numFmtId="0" fontId="0" fillId="0" borderId="28" xfId="0" applyBorder="1"/>
    <xf numFmtId="0" fontId="0" fillId="0" borderId="0" xfId="0" applyAlignment="1">
      <alignment vertical="center" wrapText="1"/>
    </xf>
    <xf numFmtId="0" fontId="14" fillId="0" borderId="0" xfId="0" applyFont="1"/>
    <xf numFmtId="0" fontId="0" fillId="0" borderId="0" xfId="0" applyAlignment="1">
      <alignment horizontal="left"/>
    </xf>
    <xf numFmtId="0" fontId="15" fillId="15" borderId="29" xfId="0" applyFont="1" applyFill="1" applyBorder="1" applyAlignment="1">
      <alignment horizontal="right"/>
    </xf>
    <xf numFmtId="0" fontId="15" fillId="15" borderId="29" xfId="0" applyFont="1" applyFill="1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16" fillId="0" borderId="0" xfId="1"/>
    <xf numFmtId="0" fontId="0" fillId="0" borderId="29" xfId="0" applyBorder="1" applyAlignment="1">
      <alignment horizontal="center"/>
    </xf>
    <xf numFmtId="0" fontId="7" fillId="17" borderId="24" xfId="0" applyFont="1" applyFill="1" applyBorder="1"/>
    <xf numFmtId="0" fontId="0" fillId="0" borderId="35" xfId="0" applyBorder="1"/>
    <xf numFmtId="0" fontId="17" fillId="15" borderId="36" xfId="0" applyFont="1" applyFill="1" applyBorder="1"/>
    <xf numFmtId="0" fontId="0" fillId="0" borderId="36" xfId="0" applyBorder="1"/>
    <xf numFmtId="0" fontId="0" fillId="0" borderId="0" xfId="0" applyAlignment="1">
      <alignment vertical="top"/>
    </xf>
    <xf numFmtId="0" fontId="18" fillId="0" borderId="27" xfId="0" applyFont="1" applyBorder="1" applyAlignment="1">
      <alignment vertical="top" wrapText="1"/>
    </xf>
    <xf numFmtId="0" fontId="19" fillId="0" borderId="27" xfId="0" applyFont="1" applyBorder="1" applyAlignment="1">
      <alignment vertical="top"/>
    </xf>
    <xf numFmtId="0" fontId="18" fillId="0" borderId="27" xfId="0" applyFont="1" applyBorder="1" applyAlignment="1">
      <alignment vertical="top"/>
    </xf>
    <xf numFmtId="0" fontId="20" fillId="0" borderId="27" xfId="0" applyFont="1" applyBorder="1" applyAlignment="1">
      <alignment vertical="top"/>
    </xf>
    <xf numFmtId="0" fontId="21" fillId="15" borderId="27" xfId="0" applyFont="1" applyFill="1" applyBorder="1" applyAlignment="1">
      <alignment vertical="top"/>
    </xf>
    <xf numFmtId="49" fontId="19" fillId="0" borderId="27" xfId="0" applyNumberFormat="1" applyFont="1" applyBorder="1" applyAlignment="1">
      <alignment vertical="top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15" fillId="15" borderId="32" xfId="0" applyFont="1" applyFill="1" applyBorder="1" applyAlignment="1">
      <alignment horizontal="center"/>
    </xf>
    <xf numFmtId="0" fontId="15" fillId="15" borderId="34" xfId="0" applyFont="1" applyFill="1" applyBorder="1" applyAlignment="1">
      <alignment horizontal="center"/>
    </xf>
    <xf numFmtId="0" fontId="15" fillId="15" borderId="33" xfId="0" applyFont="1" applyFill="1" applyBorder="1" applyAlignment="1">
      <alignment horizontal="center"/>
    </xf>
    <xf numFmtId="0" fontId="15" fillId="15" borderId="29" xfId="0" applyFont="1" applyFill="1" applyBorder="1" applyAlignment="1">
      <alignment horizontal="center"/>
    </xf>
    <xf numFmtId="0" fontId="15" fillId="15" borderId="30" xfId="0" applyFont="1" applyFill="1" applyBorder="1"/>
    <xf numFmtId="0" fontId="15" fillId="15" borderId="31" xfId="0" applyFont="1" applyFill="1" applyBorder="1"/>
    <xf numFmtId="0" fontId="22" fillId="15" borderId="40" xfId="0" applyFont="1" applyFill="1" applyBorder="1" applyAlignment="1">
      <alignment horizontal="center" vertical="top"/>
    </xf>
    <xf numFmtId="0" fontId="22" fillId="15" borderId="39" xfId="0" applyFont="1" applyFill="1" applyBorder="1" applyAlignment="1">
      <alignment horizontal="center" vertical="top"/>
    </xf>
    <xf numFmtId="0" fontId="22" fillId="15" borderId="41" xfId="0" applyFont="1" applyFill="1" applyBorder="1" applyAlignment="1">
      <alignment horizontal="center" vertical="top"/>
    </xf>
    <xf numFmtId="0" fontId="21" fillId="15" borderId="38" xfId="0" applyFont="1" applyFill="1" applyBorder="1" applyAlignment="1">
      <alignment vertical="top"/>
    </xf>
    <xf numFmtId="0" fontId="21" fillId="15" borderId="37" xfId="0" applyFont="1" applyFill="1" applyBorder="1" applyAlignment="1">
      <alignment vertical="top"/>
    </xf>
    <xf numFmtId="3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35"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1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ill>
        <patternFill patternType="gray0625"/>
      </fill>
    </dxf>
    <dxf>
      <font>
        <b/>
        <i val="0"/>
        <color theme="0"/>
      </font>
      <fill>
        <patternFill>
          <bgColor theme="1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in/Excel_AddIns/P6CXLSLib3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tringTests True-False Samples"/>
      <sheetName val="Other Samples"/>
      <sheetName val="VER_STRING_NAME_P6C"/>
    </sheetNames>
    <definedNames>
      <definedName name="FindFromRightEnd"/>
      <definedName name="GetFile"/>
      <definedName name="GetFolder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support.office.com/en-us/article/DEC2HEX-function-6344ee8b-b6b5-4c6a-a672-f64666704619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Z34"/>
  <sheetViews>
    <sheetView workbookViewId="0">
      <pane xSplit="2" ySplit="2" topLeftCell="J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5.375" bestFit="1" customWidth="1"/>
    <col min="2" max="2" width="7.25" bestFit="1" customWidth="1"/>
    <col min="3" max="3" width="31.5" bestFit="1" customWidth="1"/>
    <col min="4" max="4" width="6.25" bestFit="1" customWidth="1"/>
    <col min="5" max="5" width="8.875" bestFit="1" customWidth="1"/>
    <col min="6" max="6" width="10.875" bestFit="1" customWidth="1"/>
    <col min="7" max="7" width="6.625" bestFit="1" customWidth="1"/>
    <col min="8" max="8" width="8.5" bestFit="1" customWidth="1"/>
    <col min="9" max="9" width="10.875" bestFit="1" customWidth="1"/>
    <col min="10" max="10" width="83.125" bestFit="1" customWidth="1"/>
    <col min="11" max="11" width="7" bestFit="1" customWidth="1"/>
    <col min="12" max="12" width="14" bestFit="1" customWidth="1"/>
    <col min="13" max="13" width="33.625" bestFit="1" customWidth="1"/>
    <col min="14" max="14" width="10.25" bestFit="1" customWidth="1"/>
    <col min="15" max="15" width="14" bestFit="1" customWidth="1"/>
    <col min="16" max="16" width="10.25" bestFit="1" customWidth="1"/>
    <col min="17" max="17" width="9.875" bestFit="1" customWidth="1"/>
    <col min="18" max="18" width="10.25" bestFit="1" customWidth="1"/>
    <col min="19" max="19" width="11.875" bestFit="1" customWidth="1"/>
    <col min="20" max="20" width="10.25" bestFit="1" customWidth="1"/>
    <col min="21" max="21" width="11.875" bestFit="1" customWidth="1"/>
    <col min="22" max="22" width="10.25" bestFit="1" customWidth="1"/>
    <col min="23" max="23" width="14" bestFit="1" customWidth="1"/>
    <col min="24" max="24" width="21.25" bestFit="1" customWidth="1"/>
    <col min="25" max="26" width="40.75" bestFit="1" customWidth="1"/>
  </cols>
  <sheetData>
    <row r="1" spans="1:26" ht="19.5" x14ac:dyDescent="0.25">
      <c r="A1" s="98" t="s">
        <v>0</v>
      </c>
      <c r="B1" s="97"/>
      <c r="C1" s="97"/>
      <c r="D1" s="99"/>
      <c r="E1" s="98" t="s">
        <v>1</v>
      </c>
      <c r="F1" s="99"/>
      <c r="G1" s="98" t="s">
        <v>2</v>
      </c>
      <c r="H1" s="97"/>
      <c r="I1" s="99"/>
      <c r="J1" s="98" t="s">
        <v>3</v>
      </c>
      <c r="K1" s="97"/>
      <c r="L1" s="97"/>
      <c r="M1" s="97"/>
      <c r="N1" s="97" t="s">
        <v>178</v>
      </c>
      <c r="O1" s="97"/>
      <c r="P1" s="97" t="s">
        <v>179</v>
      </c>
      <c r="Q1" s="97"/>
      <c r="R1" s="97" t="s">
        <v>180</v>
      </c>
      <c r="S1" s="97"/>
      <c r="T1" s="97" t="s">
        <v>181</v>
      </c>
      <c r="U1" s="97"/>
      <c r="V1" s="97" t="s">
        <v>182</v>
      </c>
      <c r="W1" s="97"/>
      <c r="X1" s="23" t="s">
        <v>183</v>
      </c>
      <c r="Y1" s="23"/>
      <c r="Z1" s="23"/>
    </row>
    <row r="2" spans="1:26" ht="15.75" x14ac:dyDescent="0.25">
      <c r="A2" s="1" t="s">
        <v>4</v>
      </c>
      <c r="B2" s="2" t="s">
        <v>5</v>
      </c>
      <c r="C2" s="2" t="s">
        <v>6</v>
      </c>
      <c r="D2" s="2" t="s">
        <v>2</v>
      </c>
      <c r="E2" s="2" t="s">
        <v>7</v>
      </c>
      <c r="F2" s="3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3" t="s">
        <v>14</v>
      </c>
      <c r="M2" s="4" t="s">
        <v>175</v>
      </c>
      <c r="N2" s="4" t="s">
        <v>176</v>
      </c>
      <c r="O2" s="3" t="s">
        <v>177</v>
      </c>
      <c r="P2" s="4" t="s">
        <v>176</v>
      </c>
      <c r="Q2" s="3" t="s">
        <v>177</v>
      </c>
      <c r="R2" s="4" t="s">
        <v>176</v>
      </c>
      <c r="S2" s="3" t="s">
        <v>177</v>
      </c>
      <c r="T2" s="4" t="s">
        <v>176</v>
      </c>
      <c r="U2" s="3" t="s">
        <v>177</v>
      </c>
      <c r="V2" s="4" t="s">
        <v>176</v>
      </c>
      <c r="W2" s="3" t="s">
        <v>177</v>
      </c>
      <c r="X2" s="24" t="s">
        <v>184</v>
      </c>
      <c r="Y2" s="24" t="s">
        <v>186</v>
      </c>
      <c r="Z2" s="24" t="s">
        <v>185</v>
      </c>
    </row>
    <row r="3" spans="1:26" x14ac:dyDescent="0.25">
      <c r="A3" s="5">
        <f>+D3</f>
        <v>1</v>
      </c>
      <c r="B3" s="6">
        <f>+A3-1</f>
        <v>0</v>
      </c>
      <c r="C3" s="6" t="s">
        <v>15</v>
      </c>
      <c r="D3" s="6">
        <v>1</v>
      </c>
      <c r="E3" s="7" t="s">
        <v>16</v>
      </c>
      <c r="F3" s="6">
        <f>HEX2DEC(E3)</f>
        <v>1</v>
      </c>
      <c r="G3" s="6">
        <f>A3</f>
        <v>1</v>
      </c>
      <c r="H3" s="6">
        <f t="shared" ref="H3:H34" si="0">B3</f>
        <v>0</v>
      </c>
      <c r="I3" s="6" t="str">
        <f>CONCATENATE("0x",DEC2HEX(F3,8))</f>
        <v>0x00000001</v>
      </c>
      <c r="J3" s="6" t="s">
        <v>17</v>
      </c>
      <c r="K3" s="6" t="s">
        <v>18</v>
      </c>
      <c r="L3" s="8">
        <v>1</v>
      </c>
      <c r="M3" s="9" t="s">
        <v>19</v>
      </c>
      <c r="N3" s="9" t="str">
        <f>+K3</f>
        <v>BIT_01</v>
      </c>
      <c r="O3" s="8">
        <f>+L3</f>
        <v>1</v>
      </c>
      <c r="P3" s="21"/>
      <c r="Q3" s="8"/>
      <c r="R3" s="21"/>
      <c r="S3" s="8"/>
      <c r="T3" s="21"/>
      <c r="U3" s="8"/>
      <c r="V3" s="21" t="str">
        <f>K3</f>
        <v>BIT_01</v>
      </c>
      <c r="W3" s="8">
        <f>L3</f>
        <v>1</v>
      </c>
      <c r="X3" s="8" t="str">
        <f>CONCATENATE("            ",K3, " ,")</f>
        <v xml:space="preserve">            BIT_01 ,</v>
      </c>
      <c r="Y3" s="8" t="str">
        <f>CONCATENATE("    public const uint ",SUBSTITUTE(K3,"BIT_","BIT_NUMBER_"),"=",A3,";")</f>
        <v xml:space="preserve">    public const uint BIT_NUMBER_01=1;</v>
      </c>
      <c r="Z3" s="8" t="str">
        <f>CONCATENATE("    public const uint BIT_OFFSET_",TEXT(B3,"00"),"=",B3,";")</f>
        <v xml:space="preserve">    public const uint BIT_OFFSET_00=0;</v>
      </c>
    </row>
    <row r="4" spans="1:26" x14ac:dyDescent="0.25">
      <c r="A4" s="10">
        <f t="shared" ref="A4:A34" si="1">+D4</f>
        <v>2</v>
      </c>
      <c r="B4" s="11">
        <f t="shared" ref="B4:B34" si="2">+A4-1</f>
        <v>1</v>
      </c>
      <c r="C4" s="11" t="s">
        <v>20</v>
      </c>
      <c r="D4" s="11">
        <v>2</v>
      </c>
      <c r="E4" s="12" t="s">
        <v>21</v>
      </c>
      <c r="F4" s="11">
        <f t="shared" ref="F4:F34" si="3">HEX2DEC(E4)</f>
        <v>2</v>
      </c>
      <c r="G4" s="11">
        <f t="shared" ref="G4:G34" si="4">A4</f>
        <v>2</v>
      </c>
      <c r="H4" s="11">
        <f t="shared" si="0"/>
        <v>1</v>
      </c>
      <c r="I4" s="11" t="str">
        <f t="shared" ref="I4:I34" si="5">CONCATENATE("0x",DEC2HEX(F4,8))</f>
        <v>0x00000002</v>
      </c>
      <c r="J4" s="11" t="s">
        <v>22</v>
      </c>
      <c r="K4" s="11" t="s">
        <v>23</v>
      </c>
      <c r="L4" s="13">
        <v>2</v>
      </c>
      <c r="M4" s="14" t="s">
        <v>24</v>
      </c>
      <c r="N4" s="14"/>
      <c r="O4" s="13"/>
      <c r="P4" s="20"/>
      <c r="Q4" s="13"/>
      <c r="R4" s="20"/>
      <c r="S4" s="13"/>
      <c r="T4" s="20" t="str">
        <f>K4</f>
        <v>BIT_02</v>
      </c>
      <c r="U4" s="13">
        <f>L4</f>
        <v>2</v>
      </c>
      <c r="V4" s="20"/>
      <c r="W4" s="13"/>
      <c r="X4" s="13" t="str">
        <f t="shared" ref="X4:X34" si="6">CONCATENATE("            ",K4, " ,")</f>
        <v xml:space="preserve">            BIT_02 ,</v>
      </c>
      <c r="Y4" s="13" t="str">
        <f t="shared" ref="Y4:Y34" si="7">CONCATENATE("    public const uint ",SUBSTITUTE(K4,"BIT_","BIT_NUMBER_"),"=",A4,";")</f>
        <v xml:space="preserve">    public const uint BIT_NUMBER_02=2;</v>
      </c>
      <c r="Z4" s="13" t="str">
        <f t="shared" ref="Z4:Z34" si="8">CONCATENATE("    public const uint BIT_OFFSET_",TEXT(B4,"00"),"=",B4,";")</f>
        <v xml:space="preserve">    public const uint BIT_OFFSET_01=1;</v>
      </c>
    </row>
    <row r="5" spans="1:26" x14ac:dyDescent="0.25">
      <c r="A5" s="5">
        <f t="shared" si="1"/>
        <v>3</v>
      </c>
      <c r="B5" s="6">
        <f t="shared" si="2"/>
        <v>2</v>
      </c>
      <c r="C5" s="6" t="s">
        <v>25</v>
      </c>
      <c r="D5" s="6">
        <v>3</v>
      </c>
      <c r="E5" s="7" t="s">
        <v>26</v>
      </c>
      <c r="F5" s="6">
        <f t="shared" si="3"/>
        <v>4</v>
      </c>
      <c r="G5" s="6">
        <f t="shared" si="4"/>
        <v>3</v>
      </c>
      <c r="H5" s="6">
        <f t="shared" si="0"/>
        <v>2</v>
      </c>
      <c r="I5" s="6" t="str">
        <f t="shared" si="5"/>
        <v>0x00000004</v>
      </c>
      <c r="J5" s="6" t="s">
        <v>27</v>
      </c>
      <c r="K5" s="6" t="s">
        <v>28</v>
      </c>
      <c r="L5" s="8">
        <v>4</v>
      </c>
      <c r="M5" s="9" t="s">
        <v>29</v>
      </c>
      <c r="N5" s="9"/>
      <c r="O5" s="8"/>
      <c r="P5" s="21"/>
      <c r="Q5" s="8"/>
      <c r="R5" s="21"/>
      <c r="S5" s="8"/>
      <c r="T5" s="21"/>
      <c r="U5" s="8"/>
      <c r="V5" s="21" t="str">
        <f>K5</f>
        <v>BIT_03</v>
      </c>
      <c r="W5" s="8">
        <f>L5</f>
        <v>4</v>
      </c>
      <c r="X5" s="8" t="str">
        <f t="shared" si="6"/>
        <v xml:space="preserve">            BIT_03 ,</v>
      </c>
      <c r="Y5" s="8" t="str">
        <f t="shared" si="7"/>
        <v xml:space="preserve">    public const uint BIT_NUMBER_03=3;</v>
      </c>
      <c r="Z5" s="8" t="str">
        <f t="shared" si="8"/>
        <v xml:space="preserve">    public const uint BIT_OFFSET_02=2;</v>
      </c>
    </row>
    <row r="6" spans="1:26" x14ac:dyDescent="0.25">
      <c r="A6" s="10">
        <f t="shared" si="1"/>
        <v>4</v>
      </c>
      <c r="B6" s="11">
        <f t="shared" si="2"/>
        <v>3</v>
      </c>
      <c r="C6" s="11" t="s">
        <v>30</v>
      </c>
      <c r="D6" s="11">
        <v>4</v>
      </c>
      <c r="E6" s="12" t="s">
        <v>31</v>
      </c>
      <c r="F6" s="11">
        <f t="shared" si="3"/>
        <v>8</v>
      </c>
      <c r="G6" s="11">
        <f t="shared" si="4"/>
        <v>4</v>
      </c>
      <c r="H6" s="11">
        <f t="shared" si="0"/>
        <v>3</v>
      </c>
      <c r="I6" s="11" t="str">
        <f t="shared" si="5"/>
        <v>0x00000008</v>
      </c>
      <c r="J6" s="11" t="s">
        <v>32</v>
      </c>
      <c r="K6" s="11" t="s">
        <v>33</v>
      </c>
      <c r="L6" s="13">
        <v>8</v>
      </c>
      <c r="M6" s="14" t="s">
        <v>34</v>
      </c>
      <c r="N6" s="14"/>
      <c r="O6" s="13"/>
      <c r="P6" s="20"/>
      <c r="Q6" s="13"/>
      <c r="R6" s="20" t="str">
        <f>K6</f>
        <v>BIT_04</v>
      </c>
      <c r="S6" s="20">
        <f>L6</f>
        <v>8</v>
      </c>
      <c r="T6" s="20"/>
      <c r="U6" s="20"/>
      <c r="V6" s="20"/>
      <c r="W6" s="20"/>
      <c r="X6" s="20" t="str">
        <f t="shared" si="6"/>
        <v xml:space="preserve">            BIT_04 ,</v>
      </c>
      <c r="Y6" s="20" t="str">
        <f t="shared" si="7"/>
        <v xml:space="preserve">    public const uint BIT_NUMBER_04=4;</v>
      </c>
      <c r="Z6" s="20" t="str">
        <f t="shared" si="8"/>
        <v xml:space="preserve">    public const uint BIT_OFFSET_03=3;</v>
      </c>
    </row>
    <row r="7" spans="1:26" x14ac:dyDescent="0.25">
      <c r="A7" s="5">
        <f t="shared" si="1"/>
        <v>5</v>
      </c>
      <c r="B7" s="6">
        <f t="shared" si="2"/>
        <v>4</v>
      </c>
      <c r="C7" s="6" t="s">
        <v>35</v>
      </c>
      <c r="D7" s="6">
        <v>5</v>
      </c>
      <c r="E7" s="7" t="s">
        <v>36</v>
      </c>
      <c r="F7" s="6">
        <f t="shared" si="3"/>
        <v>16</v>
      </c>
      <c r="G7" s="6">
        <f t="shared" si="4"/>
        <v>5</v>
      </c>
      <c r="H7" s="6">
        <f t="shared" si="0"/>
        <v>4</v>
      </c>
      <c r="I7" s="6" t="str">
        <f t="shared" si="5"/>
        <v>0x00000010</v>
      </c>
      <c r="J7" s="6" t="s">
        <v>37</v>
      </c>
      <c r="K7" s="6" t="s">
        <v>38</v>
      </c>
      <c r="L7" s="8">
        <v>16</v>
      </c>
      <c r="M7" s="9" t="s">
        <v>39</v>
      </c>
      <c r="N7" s="9"/>
      <c r="O7" s="8"/>
      <c r="P7" s="21"/>
      <c r="Q7" s="8"/>
      <c r="R7" s="21"/>
      <c r="S7" s="8"/>
      <c r="T7" s="21"/>
      <c r="U7" s="8"/>
      <c r="V7" s="21" t="str">
        <f>K7</f>
        <v>BIT_05</v>
      </c>
      <c r="W7" s="8">
        <f>L7</f>
        <v>16</v>
      </c>
      <c r="X7" s="8" t="str">
        <f t="shared" si="6"/>
        <v xml:space="preserve">            BIT_05 ,</v>
      </c>
      <c r="Y7" s="8" t="str">
        <f t="shared" si="7"/>
        <v xml:space="preserve">    public const uint BIT_NUMBER_05=5;</v>
      </c>
      <c r="Z7" s="8" t="str">
        <f t="shared" si="8"/>
        <v xml:space="preserve">    public const uint BIT_OFFSET_04=4;</v>
      </c>
    </row>
    <row r="8" spans="1:26" x14ac:dyDescent="0.25">
      <c r="A8" s="10">
        <f t="shared" si="1"/>
        <v>6</v>
      </c>
      <c r="B8" s="11">
        <f t="shared" si="2"/>
        <v>5</v>
      </c>
      <c r="C8" s="11" t="s">
        <v>40</v>
      </c>
      <c r="D8" s="11">
        <v>6</v>
      </c>
      <c r="E8" s="12" t="s">
        <v>41</v>
      </c>
      <c r="F8" s="11">
        <f t="shared" si="3"/>
        <v>32</v>
      </c>
      <c r="G8" s="11">
        <f t="shared" si="4"/>
        <v>6</v>
      </c>
      <c r="H8" s="11">
        <f t="shared" si="0"/>
        <v>5</v>
      </c>
      <c r="I8" s="11" t="str">
        <f t="shared" si="5"/>
        <v>0x00000020</v>
      </c>
      <c r="J8" s="11" t="s">
        <v>42</v>
      </c>
      <c r="K8" s="11" t="s">
        <v>43</v>
      </c>
      <c r="L8" s="13">
        <v>32</v>
      </c>
      <c r="M8" s="14" t="s">
        <v>44</v>
      </c>
      <c r="N8" s="14"/>
      <c r="O8" s="13"/>
      <c r="P8" s="20"/>
      <c r="Q8" s="13"/>
      <c r="R8" s="20"/>
      <c r="S8" s="13"/>
      <c r="T8" s="20" t="str">
        <f>K8</f>
        <v>BIT_06</v>
      </c>
      <c r="U8" s="13">
        <f>L8</f>
        <v>32</v>
      </c>
      <c r="V8" s="20"/>
      <c r="W8" s="13"/>
      <c r="X8" s="13" t="str">
        <f t="shared" si="6"/>
        <v xml:space="preserve">            BIT_06 ,</v>
      </c>
      <c r="Y8" s="13" t="str">
        <f t="shared" si="7"/>
        <v xml:space="preserve">    public const uint BIT_NUMBER_06=6;</v>
      </c>
      <c r="Z8" s="13" t="str">
        <f t="shared" si="8"/>
        <v xml:space="preserve">    public const uint BIT_OFFSET_05=5;</v>
      </c>
    </row>
    <row r="9" spans="1:26" x14ac:dyDescent="0.25">
      <c r="A9" s="5">
        <f t="shared" si="1"/>
        <v>7</v>
      </c>
      <c r="B9" s="6">
        <f t="shared" si="2"/>
        <v>6</v>
      </c>
      <c r="C9" s="6" t="s">
        <v>45</v>
      </c>
      <c r="D9" s="6">
        <v>7</v>
      </c>
      <c r="E9" s="7" t="s">
        <v>46</v>
      </c>
      <c r="F9" s="6">
        <f t="shared" si="3"/>
        <v>64</v>
      </c>
      <c r="G9" s="6">
        <f t="shared" si="4"/>
        <v>7</v>
      </c>
      <c r="H9" s="6">
        <f t="shared" si="0"/>
        <v>6</v>
      </c>
      <c r="I9" s="6" t="str">
        <f t="shared" si="5"/>
        <v>0x00000040</v>
      </c>
      <c r="J9" s="6" t="s">
        <v>47</v>
      </c>
      <c r="K9" s="6" t="s">
        <v>48</v>
      </c>
      <c r="L9" s="8">
        <v>64</v>
      </c>
      <c r="M9" s="9" t="s">
        <v>49</v>
      </c>
      <c r="N9" s="9"/>
      <c r="O9" s="8"/>
      <c r="P9" s="21"/>
      <c r="Q9" s="8"/>
      <c r="R9" s="21"/>
      <c r="S9" s="8"/>
      <c r="T9" s="21"/>
      <c r="U9" s="8"/>
      <c r="V9" s="21" t="str">
        <f>K9</f>
        <v>BIT_07</v>
      </c>
      <c r="W9" s="8">
        <f>L9</f>
        <v>64</v>
      </c>
      <c r="X9" s="8" t="str">
        <f t="shared" si="6"/>
        <v xml:space="preserve">            BIT_07 ,</v>
      </c>
      <c r="Y9" s="8" t="str">
        <f t="shared" si="7"/>
        <v xml:space="preserve">    public const uint BIT_NUMBER_07=7;</v>
      </c>
      <c r="Z9" s="8" t="str">
        <f t="shared" si="8"/>
        <v xml:space="preserve">    public const uint BIT_OFFSET_06=6;</v>
      </c>
    </row>
    <row r="10" spans="1:26" x14ac:dyDescent="0.25">
      <c r="A10" s="10">
        <f t="shared" si="1"/>
        <v>8</v>
      </c>
      <c r="B10" s="11">
        <f t="shared" si="2"/>
        <v>7</v>
      </c>
      <c r="C10" s="11" t="s">
        <v>50</v>
      </c>
      <c r="D10" s="11">
        <v>8</v>
      </c>
      <c r="E10" s="12" t="s">
        <v>51</v>
      </c>
      <c r="F10" s="11">
        <f t="shared" si="3"/>
        <v>128</v>
      </c>
      <c r="G10" s="11">
        <f t="shared" si="4"/>
        <v>8</v>
      </c>
      <c r="H10" s="11">
        <f t="shared" si="0"/>
        <v>7</v>
      </c>
      <c r="I10" s="11" t="str">
        <f t="shared" si="5"/>
        <v>0x00000080</v>
      </c>
      <c r="J10" s="11" t="s">
        <v>52</v>
      </c>
      <c r="K10" s="11" t="s">
        <v>53</v>
      </c>
      <c r="L10" s="13">
        <v>128</v>
      </c>
      <c r="M10" s="14" t="s">
        <v>54</v>
      </c>
      <c r="N10" s="14"/>
      <c r="O10" s="13"/>
      <c r="P10" s="20" t="str">
        <f>K10</f>
        <v>BIT_08</v>
      </c>
      <c r="Q10" s="20">
        <f>L10</f>
        <v>128</v>
      </c>
      <c r="R10" s="20"/>
      <c r="S10" s="13"/>
      <c r="T10" s="20"/>
      <c r="U10" s="13"/>
      <c r="V10" s="20"/>
      <c r="W10" s="13"/>
      <c r="X10" s="13" t="str">
        <f t="shared" si="6"/>
        <v xml:space="preserve">            BIT_08 ,</v>
      </c>
      <c r="Y10" s="13" t="str">
        <f t="shared" si="7"/>
        <v xml:space="preserve">    public const uint BIT_NUMBER_08=8;</v>
      </c>
      <c r="Z10" s="13" t="str">
        <f t="shared" si="8"/>
        <v xml:space="preserve">    public const uint BIT_OFFSET_07=7;</v>
      </c>
    </row>
    <row r="11" spans="1:26" x14ac:dyDescent="0.25">
      <c r="A11" s="5">
        <f t="shared" si="1"/>
        <v>9</v>
      </c>
      <c r="B11" s="6">
        <f t="shared" si="2"/>
        <v>8</v>
      </c>
      <c r="C11" s="6" t="s">
        <v>55</v>
      </c>
      <c r="D11" s="6">
        <v>9</v>
      </c>
      <c r="E11" s="7" t="s">
        <v>56</v>
      </c>
      <c r="F11" s="6">
        <f t="shared" si="3"/>
        <v>256</v>
      </c>
      <c r="G11" s="6">
        <f t="shared" si="4"/>
        <v>9</v>
      </c>
      <c r="H11" s="6">
        <f t="shared" si="0"/>
        <v>8</v>
      </c>
      <c r="I11" s="6" t="str">
        <f t="shared" si="5"/>
        <v>0x00000100</v>
      </c>
      <c r="J11" s="6" t="s">
        <v>57</v>
      </c>
      <c r="K11" s="6" t="s">
        <v>58</v>
      </c>
      <c r="L11" s="8">
        <v>256</v>
      </c>
      <c r="M11" s="9" t="s">
        <v>59</v>
      </c>
      <c r="N11" s="9"/>
      <c r="O11" s="8"/>
      <c r="P11" s="21"/>
      <c r="Q11" s="8"/>
      <c r="R11" s="21"/>
      <c r="S11" s="8"/>
      <c r="T11" s="21"/>
      <c r="U11" s="8"/>
      <c r="V11" s="21" t="str">
        <f>K11</f>
        <v>BIT_09</v>
      </c>
      <c r="W11" s="8">
        <f>L11</f>
        <v>256</v>
      </c>
      <c r="X11" s="8" t="str">
        <f t="shared" si="6"/>
        <v xml:space="preserve">            BIT_09 ,</v>
      </c>
      <c r="Y11" s="8" t="str">
        <f t="shared" si="7"/>
        <v xml:space="preserve">    public const uint BIT_NUMBER_09=9;</v>
      </c>
      <c r="Z11" s="8" t="str">
        <f t="shared" si="8"/>
        <v xml:space="preserve">    public const uint BIT_OFFSET_08=8;</v>
      </c>
    </row>
    <row r="12" spans="1:26" x14ac:dyDescent="0.25">
      <c r="A12" s="10">
        <f t="shared" si="1"/>
        <v>10</v>
      </c>
      <c r="B12" s="11">
        <f t="shared" si="2"/>
        <v>9</v>
      </c>
      <c r="C12" s="11" t="s">
        <v>60</v>
      </c>
      <c r="D12" s="11">
        <v>10</v>
      </c>
      <c r="E12" s="12" t="s">
        <v>61</v>
      </c>
      <c r="F12" s="11">
        <f t="shared" si="3"/>
        <v>512</v>
      </c>
      <c r="G12" s="11">
        <f t="shared" si="4"/>
        <v>10</v>
      </c>
      <c r="H12" s="11">
        <f t="shared" si="0"/>
        <v>9</v>
      </c>
      <c r="I12" s="11" t="str">
        <f t="shared" si="5"/>
        <v>0x00000200</v>
      </c>
      <c r="J12" s="11" t="s">
        <v>62</v>
      </c>
      <c r="K12" s="11" t="s">
        <v>63</v>
      </c>
      <c r="L12" s="13">
        <v>512</v>
      </c>
      <c r="M12" s="14" t="s">
        <v>64</v>
      </c>
      <c r="N12" s="14"/>
      <c r="O12" s="13"/>
      <c r="P12" s="20"/>
      <c r="Q12" s="13"/>
      <c r="R12" s="20"/>
      <c r="S12" s="13"/>
      <c r="T12" s="20" t="str">
        <f>K12</f>
        <v>BIT_10</v>
      </c>
      <c r="U12" s="13">
        <f>L12</f>
        <v>512</v>
      </c>
      <c r="V12" s="20"/>
      <c r="W12" s="13"/>
      <c r="X12" s="13" t="str">
        <f t="shared" si="6"/>
        <v xml:space="preserve">            BIT_10 ,</v>
      </c>
      <c r="Y12" s="13" t="str">
        <f t="shared" si="7"/>
        <v xml:space="preserve">    public const uint BIT_NUMBER_10=10;</v>
      </c>
      <c r="Z12" s="13" t="str">
        <f t="shared" si="8"/>
        <v xml:space="preserve">    public const uint BIT_OFFSET_09=9;</v>
      </c>
    </row>
    <row r="13" spans="1:26" x14ac:dyDescent="0.25">
      <c r="A13" s="5">
        <f t="shared" si="1"/>
        <v>11</v>
      </c>
      <c r="B13" s="6">
        <f t="shared" si="2"/>
        <v>10</v>
      </c>
      <c r="C13" s="6" t="s">
        <v>65</v>
      </c>
      <c r="D13" s="6">
        <v>11</v>
      </c>
      <c r="E13" s="7" t="s">
        <v>66</v>
      </c>
      <c r="F13" s="6">
        <f t="shared" si="3"/>
        <v>1024</v>
      </c>
      <c r="G13" s="6">
        <f t="shared" si="4"/>
        <v>11</v>
      </c>
      <c r="H13" s="6">
        <f t="shared" si="0"/>
        <v>10</v>
      </c>
      <c r="I13" s="6" t="str">
        <f t="shared" si="5"/>
        <v>0x00000400</v>
      </c>
      <c r="J13" s="6" t="s">
        <v>67</v>
      </c>
      <c r="K13" s="6" t="s">
        <v>68</v>
      </c>
      <c r="L13" s="8">
        <v>1024</v>
      </c>
      <c r="M13" s="9" t="s">
        <v>69</v>
      </c>
      <c r="N13" s="9"/>
      <c r="O13" s="8"/>
      <c r="P13" s="21"/>
      <c r="Q13" s="8"/>
      <c r="R13" s="21"/>
      <c r="S13" s="8"/>
      <c r="T13" s="21"/>
      <c r="U13" s="8"/>
      <c r="V13" s="21" t="str">
        <f>K13</f>
        <v>BIT_11</v>
      </c>
      <c r="W13" s="8">
        <f>L13</f>
        <v>1024</v>
      </c>
      <c r="X13" s="8" t="str">
        <f t="shared" si="6"/>
        <v xml:space="preserve">            BIT_11 ,</v>
      </c>
      <c r="Y13" s="8" t="str">
        <f t="shared" si="7"/>
        <v xml:space="preserve">    public const uint BIT_NUMBER_11=11;</v>
      </c>
      <c r="Z13" s="8" t="str">
        <f t="shared" si="8"/>
        <v xml:space="preserve">    public const uint BIT_OFFSET_10=10;</v>
      </c>
    </row>
    <row r="14" spans="1:26" x14ac:dyDescent="0.25">
      <c r="A14" s="10">
        <f t="shared" si="1"/>
        <v>12</v>
      </c>
      <c r="B14" s="11">
        <f t="shared" si="2"/>
        <v>11</v>
      </c>
      <c r="C14" s="11" t="s">
        <v>70</v>
      </c>
      <c r="D14" s="11">
        <v>12</v>
      </c>
      <c r="E14" s="12" t="s">
        <v>71</v>
      </c>
      <c r="F14" s="11">
        <f t="shared" si="3"/>
        <v>2048</v>
      </c>
      <c r="G14" s="11">
        <f t="shared" si="4"/>
        <v>12</v>
      </c>
      <c r="H14" s="11">
        <f t="shared" si="0"/>
        <v>11</v>
      </c>
      <c r="I14" s="11" t="str">
        <f t="shared" si="5"/>
        <v>0x00000800</v>
      </c>
      <c r="J14" s="11" t="s">
        <v>72</v>
      </c>
      <c r="K14" s="11" t="s">
        <v>73</v>
      </c>
      <c r="L14" s="13">
        <v>2048</v>
      </c>
      <c r="M14" s="14" t="s">
        <v>74</v>
      </c>
      <c r="N14" s="14"/>
      <c r="O14" s="13"/>
      <c r="P14" s="20"/>
      <c r="Q14" s="13"/>
      <c r="R14" s="20" t="str">
        <f>K14</f>
        <v>BIT_12</v>
      </c>
      <c r="S14" s="20">
        <f>L14</f>
        <v>2048</v>
      </c>
      <c r="T14" s="20"/>
      <c r="U14" s="20"/>
      <c r="V14" s="20"/>
      <c r="W14" s="20"/>
      <c r="X14" s="20" t="str">
        <f t="shared" si="6"/>
        <v xml:space="preserve">            BIT_12 ,</v>
      </c>
      <c r="Y14" s="20" t="str">
        <f t="shared" si="7"/>
        <v xml:space="preserve">    public const uint BIT_NUMBER_12=12;</v>
      </c>
      <c r="Z14" s="20" t="str">
        <f t="shared" si="8"/>
        <v xml:space="preserve">    public const uint BIT_OFFSET_11=11;</v>
      </c>
    </row>
    <row r="15" spans="1:26" x14ac:dyDescent="0.25">
      <c r="A15" s="5">
        <f t="shared" si="1"/>
        <v>13</v>
      </c>
      <c r="B15" s="6">
        <f t="shared" si="2"/>
        <v>12</v>
      </c>
      <c r="C15" s="6" t="s">
        <v>75</v>
      </c>
      <c r="D15" s="6">
        <v>13</v>
      </c>
      <c r="E15" s="7" t="s">
        <v>76</v>
      </c>
      <c r="F15" s="6">
        <f t="shared" si="3"/>
        <v>4096</v>
      </c>
      <c r="G15" s="6">
        <f t="shared" si="4"/>
        <v>13</v>
      </c>
      <c r="H15" s="6">
        <f t="shared" si="0"/>
        <v>12</v>
      </c>
      <c r="I15" s="6" t="str">
        <f t="shared" si="5"/>
        <v>0x00001000</v>
      </c>
      <c r="J15" s="6" t="s">
        <v>77</v>
      </c>
      <c r="K15" s="6" t="s">
        <v>78</v>
      </c>
      <c r="L15" s="8">
        <v>4096</v>
      </c>
      <c r="M15" s="9" t="s">
        <v>79</v>
      </c>
      <c r="N15" s="9"/>
      <c r="O15" s="8"/>
      <c r="P15" s="21"/>
      <c r="Q15" s="8"/>
      <c r="R15" s="21"/>
      <c r="S15" s="8"/>
      <c r="T15" s="21"/>
      <c r="U15" s="8"/>
      <c r="V15" s="21" t="str">
        <f>K15</f>
        <v>BIT_13</v>
      </c>
      <c r="W15" s="8">
        <f>L15</f>
        <v>4096</v>
      </c>
      <c r="X15" s="8" t="str">
        <f t="shared" si="6"/>
        <v xml:space="preserve">            BIT_13 ,</v>
      </c>
      <c r="Y15" s="8" t="str">
        <f t="shared" si="7"/>
        <v xml:space="preserve">    public const uint BIT_NUMBER_13=13;</v>
      </c>
      <c r="Z15" s="8" t="str">
        <f t="shared" si="8"/>
        <v xml:space="preserve">    public const uint BIT_OFFSET_12=12;</v>
      </c>
    </row>
    <row r="16" spans="1:26" x14ac:dyDescent="0.25">
      <c r="A16" s="10">
        <f t="shared" si="1"/>
        <v>14</v>
      </c>
      <c r="B16" s="11">
        <f t="shared" si="2"/>
        <v>13</v>
      </c>
      <c r="C16" s="11" t="s">
        <v>80</v>
      </c>
      <c r="D16" s="11">
        <v>14</v>
      </c>
      <c r="E16" s="12" t="s">
        <v>81</v>
      </c>
      <c r="F16" s="11">
        <f t="shared" si="3"/>
        <v>8192</v>
      </c>
      <c r="G16" s="11">
        <f t="shared" si="4"/>
        <v>14</v>
      </c>
      <c r="H16" s="11">
        <f t="shared" si="0"/>
        <v>13</v>
      </c>
      <c r="I16" s="11" t="str">
        <f t="shared" si="5"/>
        <v>0x00002000</v>
      </c>
      <c r="J16" s="11" t="s">
        <v>82</v>
      </c>
      <c r="K16" s="11" t="s">
        <v>83</v>
      </c>
      <c r="L16" s="13">
        <v>8192</v>
      </c>
      <c r="M16" s="14" t="s">
        <v>84</v>
      </c>
      <c r="N16" s="14"/>
      <c r="O16" s="13"/>
      <c r="P16" s="20"/>
      <c r="Q16" s="13"/>
      <c r="R16" s="20"/>
      <c r="S16" s="13"/>
      <c r="T16" s="20" t="str">
        <f>K16</f>
        <v>BIT_14</v>
      </c>
      <c r="U16" s="13">
        <f>L16</f>
        <v>8192</v>
      </c>
      <c r="V16" s="20"/>
      <c r="W16" s="13"/>
      <c r="X16" s="13" t="str">
        <f t="shared" si="6"/>
        <v xml:space="preserve">            BIT_14 ,</v>
      </c>
      <c r="Y16" s="13" t="str">
        <f t="shared" si="7"/>
        <v xml:space="preserve">    public const uint BIT_NUMBER_14=14;</v>
      </c>
      <c r="Z16" s="13" t="str">
        <f t="shared" si="8"/>
        <v xml:space="preserve">    public const uint BIT_OFFSET_13=13;</v>
      </c>
    </row>
    <row r="17" spans="1:26" x14ac:dyDescent="0.25">
      <c r="A17" s="5">
        <f t="shared" si="1"/>
        <v>15</v>
      </c>
      <c r="B17" s="6">
        <f t="shared" si="2"/>
        <v>14</v>
      </c>
      <c r="C17" s="6" t="s">
        <v>85</v>
      </c>
      <c r="D17" s="6">
        <v>15</v>
      </c>
      <c r="E17" s="7" t="s">
        <v>86</v>
      </c>
      <c r="F17" s="6">
        <f t="shared" si="3"/>
        <v>16384</v>
      </c>
      <c r="G17" s="6">
        <f t="shared" si="4"/>
        <v>15</v>
      </c>
      <c r="H17" s="6">
        <f t="shared" si="0"/>
        <v>14</v>
      </c>
      <c r="I17" s="6" t="str">
        <f t="shared" si="5"/>
        <v>0x00004000</v>
      </c>
      <c r="J17" s="6" t="s">
        <v>87</v>
      </c>
      <c r="K17" s="6" t="s">
        <v>88</v>
      </c>
      <c r="L17" s="8">
        <v>16384</v>
      </c>
      <c r="M17" s="9" t="s">
        <v>89</v>
      </c>
      <c r="N17" s="9"/>
      <c r="O17" s="8"/>
      <c r="P17" s="21"/>
      <c r="Q17" s="8"/>
      <c r="R17" s="21"/>
      <c r="S17" s="8"/>
      <c r="T17" s="21"/>
      <c r="U17" s="8"/>
      <c r="V17" s="21" t="str">
        <f>K17</f>
        <v>BIT_15</v>
      </c>
      <c r="W17" s="8">
        <f>L17</f>
        <v>16384</v>
      </c>
      <c r="X17" s="8" t="str">
        <f t="shared" si="6"/>
        <v xml:space="preserve">            BIT_15 ,</v>
      </c>
      <c r="Y17" s="8" t="str">
        <f t="shared" si="7"/>
        <v xml:space="preserve">    public const uint BIT_NUMBER_15=15;</v>
      </c>
      <c r="Z17" s="8" t="str">
        <f t="shared" si="8"/>
        <v xml:space="preserve">    public const uint BIT_OFFSET_14=14;</v>
      </c>
    </row>
    <row r="18" spans="1:26" x14ac:dyDescent="0.25">
      <c r="A18" s="10">
        <f t="shared" si="1"/>
        <v>16</v>
      </c>
      <c r="B18" s="11">
        <f t="shared" si="2"/>
        <v>15</v>
      </c>
      <c r="C18" s="11" t="s">
        <v>90</v>
      </c>
      <c r="D18" s="11">
        <v>16</v>
      </c>
      <c r="E18" s="12" t="s">
        <v>91</v>
      </c>
      <c r="F18" s="11">
        <f t="shared" si="3"/>
        <v>32768</v>
      </c>
      <c r="G18" s="11">
        <f t="shared" si="4"/>
        <v>16</v>
      </c>
      <c r="H18" s="11">
        <f t="shared" si="0"/>
        <v>15</v>
      </c>
      <c r="I18" s="11" t="str">
        <f t="shared" si="5"/>
        <v>0x00008000</v>
      </c>
      <c r="J18" s="11" t="s">
        <v>92</v>
      </c>
      <c r="K18" s="11" t="s">
        <v>93</v>
      </c>
      <c r="L18" s="13">
        <v>32768</v>
      </c>
      <c r="M18" s="14" t="s">
        <v>94</v>
      </c>
      <c r="N18" s="14" t="str">
        <f>+K18</f>
        <v>BIT_16</v>
      </c>
      <c r="O18" s="13">
        <f>+L18</f>
        <v>32768</v>
      </c>
      <c r="P18" s="20"/>
      <c r="Q18" s="13"/>
      <c r="R18" s="20"/>
      <c r="S18" s="13"/>
      <c r="T18" s="20"/>
      <c r="U18" s="13"/>
      <c r="V18" s="20"/>
      <c r="W18" s="13"/>
      <c r="X18" s="13" t="str">
        <f t="shared" si="6"/>
        <v xml:space="preserve">            BIT_16 ,</v>
      </c>
      <c r="Y18" s="13" t="str">
        <f t="shared" si="7"/>
        <v xml:space="preserve">    public const uint BIT_NUMBER_16=16;</v>
      </c>
      <c r="Z18" s="13" t="str">
        <f t="shared" si="8"/>
        <v xml:space="preserve">    public const uint BIT_OFFSET_15=15;</v>
      </c>
    </row>
    <row r="19" spans="1:26" x14ac:dyDescent="0.25">
      <c r="A19" s="5">
        <f t="shared" si="1"/>
        <v>17</v>
      </c>
      <c r="B19" s="6">
        <f t="shared" si="2"/>
        <v>16</v>
      </c>
      <c r="C19" s="6" t="s">
        <v>95</v>
      </c>
      <c r="D19" s="6">
        <v>17</v>
      </c>
      <c r="E19" s="7" t="s">
        <v>96</v>
      </c>
      <c r="F19" s="6">
        <f t="shared" si="3"/>
        <v>65536</v>
      </c>
      <c r="G19" s="6">
        <f t="shared" si="4"/>
        <v>17</v>
      </c>
      <c r="H19" s="6">
        <f t="shared" si="0"/>
        <v>16</v>
      </c>
      <c r="I19" s="6" t="str">
        <f t="shared" si="5"/>
        <v>0x00010000</v>
      </c>
      <c r="J19" s="6" t="s">
        <v>97</v>
      </c>
      <c r="K19" s="6" t="s">
        <v>98</v>
      </c>
      <c r="L19" s="8">
        <v>65536</v>
      </c>
      <c r="M19" s="9" t="s">
        <v>99</v>
      </c>
      <c r="N19" s="9"/>
      <c r="O19" s="8"/>
      <c r="P19" s="21"/>
      <c r="Q19" s="8"/>
      <c r="R19" s="21"/>
      <c r="S19" s="8"/>
      <c r="T19" s="21"/>
      <c r="U19" s="8"/>
      <c r="V19" s="21" t="str">
        <f>K19</f>
        <v>BIT_17</v>
      </c>
      <c r="W19" s="8">
        <f>L19</f>
        <v>65536</v>
      </c>
      <c r="X19" s="8" t="str">
        <f t="shared" si="6"/>
        <v xml:space="preserve">            BIT_17 ,</v>
      </c>
      <c r="Y19" s="8" t="str">
        <f t="shared" si="7"/>
        <v xml:space="preserve">    public const uint BIT_NUMBER_17=17;</v>
      </c>
      <c r="Z19" s="8" t="str">
        <f t="shared" si="8"/>
        <v xml:space="preserve">    public const uint BIT_OFFSET_16=16;</v>
      </c>
    </row>
    <row r="20" spans="1:26" x14ac:dyDescent="0.25">
      <c r="A20" s="10">
        <f t="shared" si="1"/>
        <v>18</v>
      </c>
      <c r="B20" s="11">
        <f t="shared" si="2"/>
        <v>17</v>
      </c>
      <c r="C20" s="11" t="s">
        <v>100</v>
      </c>
      <c r="D20" s="11">
        <v>18</v>
      </c>
      <c r="E20" s="12" t="s">
        <v>101</v>
      </c>
      <c r="F20" s="11">
        <f t="shared" si="3"/>
        <v>131072</v>
      </c>
      <c r="G20" s="11">
        <f t="shared" si="4"/>
        <v>18</v>
      </c>
      <c r="H20" s="11">
        <f t="shared" si="0"/>
        <v>17</v>
      </c>
      <c r="I20" s="11" t="str">
        <f t="shared" si="5"/>
        <v>0x00020000</v>
      </c>
      <c r="J20" s="11" t="s">
        <v>102</v>
      </c>
      <c r="K20" s="11" t="s">
        <v>103</v>
      </c>
      <c r="L20" s="13">
        <v>131072</v>
      </c>
      <c r="M20" s="14" t="s">
        <v>104</v>
      </c>
      <c r="N20" s="14"/>
      <c r="O20" s="13"/>
      <c r="P20" s="20"/>
      <c r="Q20" s="13"/>
      <c r="R20" s="20"/>
      <c r="S20" s="13"/>
      <c r="T20" s="20" t="str">
        <f>K20</f>
        <v>BIT_18</v>
      </c>
      <c r="U20" s="13">
        <f>L20</f>
        <v>131072</v>
      </c>
      <c r="V20" s="20"/>
      <c r="W20" s="13"/>
      <c r="X20" s="13" t="str">
        <f t="shared" si="6"/>
        <v xml:space="preserve">            BIT_18 ,</v>
      </c>
      <c r="Y20" s="13" t="str">
        <f t="shared" si="7"/>
        <v xml:space="preserve">    public const uint BIT_NUMBER_18=18;</v>
      </c>
      <c r="Z20" s="13" t="str">
        <f t="shared" si="8"/>
        <v xml:space="preserve">    public const uint BIT_OFFSET_17=17;</v>
      </c>
    </row>
    <row r="21" spans="1:26" x14ac:dyDescent="0.25">
      <c r="A21" s="5">
        <f t="shared" si="1"/>
        <v>19</v>
      </c>
      <c r="B21" s="6">
        <f t="shared" si="2"/>
        <v>18</v>
      </c>
      <c r="C21" s="6" t="s">
        <v>105</v>
      </c>
      <c r="D21" s="6">
        <v>19</v>
      </c>
      <c r="E21" s="7" t="s">
        <v>106</v>
      </c>
      <c r="F21" s="6">
        <f t="shared" si="3"/>
        <v>262144</v>
      </c>
      <c r="G21" s="6">
        <f t="shared" si="4"/>
        <v>19</v>
      </c>
      <c r="H21" s="6">
        <f t="shared" si="0"/>
        <v>18</v>
      </c>
      <c r="I21" s="6" t="str">
        <f t="shared" si="5"/>
        <v>0x00040000</v>
      </c>
      <c r="J21" s="6" t="s">
        <v>107</v>
      </c>
      <c r="K21" s="6" t="s">
        <v>108</v>
      </c>
      <c r="L21" s="8">
        <v>262144</v>
      </c>
      <c r="M21" s="9" t="s">
        <v>109</v>
      </c>
      <c r="N21" s="9"/>
      <c r="O21" s="8"/>
      <c r="P21" s="21"/>
      <c r="Q21" s="8"/>
      <c r="R21" s="21"/>
      <c r="S21" s="8"/>
      <c r="T21" s="21"/>
      <c r="U21" s="8"/>
      <c r="V21" s="21" t="str">
        <f>K21</f>
        <v>BIT_19</v>
      </c>
      <c r="W21" s="8">
        <f>L21</f>
        <v>262144</v>
      </c>
      <c r="X21" s="8" t="str">
        <f t="shared" si="6"/>
        <v xml:space="preserve">            BIT_19 ,</v>
      </c>
      <c r="Y21" s="8" t="str">
        <f t="shared" si="7"/>
        <v xml:space="preserve">    public const uint BIT_NUMBER_19=19;</v>
      </c>
      <c r="Z21" s="8" t="str">
        <f t="shared" si="8"/>
        <v xml:space="preserve">    public const uint BIT_OFFSET_18=18;</v>
      </c>
    </row>
    <row r="22" spans="1:26" x14ac:dyDescent="0.25">
      <c r="A22" s="10">
        <f t="shared" si="1"/>
        <v>20</v>
      </c>
      <c r="B22" s="11">
        <f t="shared" si="2"/>
        <v>19</v>
      </c>
      <c r="C22" s="11" t="s">
        <v>110</v>
      </c>
      <c r="D22" s="11">
        <v>20</v>
      </c>
      <c r="E22" s="12" t="s">
        <v>111</v>
      </c>
      <c r="F22" s="11">
        <f t="shared" si="3"/>
        <v>524288</v>
      </c>
      <c r="G22" s="11">
        <f t="shared" si="4"/>
        <v>20</v>
      </c>
      <c r="H22" s="11">
        <f t="shared" si="0"/>
        <v>19</v>
      </c>
      <c r="I22" s="11" t="str">
        <f t="shared" si="5"/>
        <v>0x00080000</v>
      </c>
      <c r="J22" s="11" t="s">
        <v>112</v>
      </c>
      <c r="K22" s="11" t="s">
        <v>113</v>
      </c>
      <c r="L22" s="13">
        <v>524288</v>
      </c>
      <c r="M22" s="14" t="s">
        <v>114</v>
      </c>
      <c r="N22" s="14"/>
      <c r="O22" s="13"/>
      <c r="P22" s="20"/>
      <c r="Q22" s="13"/>
      <c r="R22" s="20" t="str">
        <f>K22</f>
        <v>BIT_20</v>
      </c>
      <c r="S22" s="13">
        <f>L22</f>
        <v>524288</v>
      </c>
      <c r="T22" s="20"/>
      <c r="U22" s="13"/>
      <c r="V22" s="20"/>
      <c r="W22" s="13"/>
      <c r="X22" s="13" t="str">
        <f t="shared" si="6"/>
        <v xml:space="preserve">            BIT_20 ,</v>
      </c>
      <c r="Y22" s="13" t="str">
        <f t="shared" si="7"/>
        <v xml:space="preserve">    public const uint BIT_NUMBER_20=20;</v>
      </c>
      <c r="Z22" s="13" t="str">
        <f t="shared" si="8"/>
        <v xml:space="preserve">    public const uint BIT_OFFSET_19=19;</v>
      </c>
    </row>
    <row r="23" spans="1:26" x14ac:dyDescent="0.25">
      <c r="A23" s="5">
        <f t="shared" si="1"/>
        <v>21</v>
      </c>
      <c r="B23" s="6">
        <f t="shared" si="2"/>
        <v>20</v>
      </c>
      <c r="C23" s="6" t="s">
        <v>115</v>
      </c>
      <c r="D23" s="6">
        <v>21</v>
      </c>
      <c r="E23" s="7" t="s">
        <v>116</v>
      </c>
      <c r="F23" s="6">
        <f t="shared" si="3"/>
        <v>1048576</v>
      </c>
      <c r="G23" s="6">
        <f t="shared" si="4"/>
        <v>21</v>
      </c>
      <c r="H23" s="6">
        <f t="shared" si="0"/>
        <v>20</v>
      </c>
      <c r="I23" s="6" t="str">
        <f t="shared" si="5"/>
        <v>0x00100000</v>
      </c>
      <c r="J23" s="6" t="s">
        <v>117</v>
      </c>
      <c r="K23" s="6" t="s">
        <v>118</v>
      </c>
      <c r="L23" s="8">
        <v>1048576</v>
      </c>
      <c r="M23" s="9" t="s">
        <v>119</v>
      </c>
      <c r="N23" s="9"/>
      <c r="O23" s="8"/>
      <c r="P23" s="21"/>
      <c r="Q23" s="8"/>
      <c r="R23" s="21"/>
      <c r="S23" s="8"/>
      <c r="T23" s="21"/>
      <c r="U23" s="8"/>
      <c r="V23" s="21" t="str">
        <f>K23</f>
        <v>BIT_21</v>
      </c>
      <c r="W23" s="8">
        <f>L23</f>
        <v>1048576</v>
      </c>
      <c r="X23" s="8" t="str">
        <f t="shared" si="6"/>
        <v xml:space="preserve">            BIT_21 ,</v>
      </c>
      <c r="Y23" s="8" t="str">
        <f t="shared" si="7"/>
        <v xml:space="preserve">    public const uint BIT_NUMBER_21=21;</v>
      </c>
      <c r="Z23" s="8" t="str">
        <f t="shared" si="8"/>
        <v xml:space="preserve">    public const uint BIT_OFFSET_20=20;</v>
      </c>
    </row>
    <row r="24" spans="1:26" x14ac:dyDescent="0.25">
      <c r="A24" s="10">
        <f t="shared" si="1"/>
        <v>22</v>
      </c>
      <c r="B24" s="11">
        <f t="shared" si="2"/>
        <v>21</v>
      </c>
      <c r="C24" s="11" t="s">
        <v>120</v>
      </c>
      <c r="D24" s="11">
        <v>22</v>
      </c>
      <c r="E24" s="12" t="s">
        <v>121</v>
      </c>
      <c r="F24" s="11">
        <f t="shared" si="3"/>
        <v>2097152</v>
      </c>
      <c r="G24" s="11">
        <f t="shared" si="4"/>
        <v>22</v>
      </c>
      <c r="H24" s="11">
        <f t="shared" si="0"/>
        <v>21</v>
      </c>
      <c r="I24" s="11" t="str">
        <f t="shared" si="5"/>
        <v>0x00200000</v>
      </c>
      <c r="J24" s="11" t="s">
        <v>122</v>
      </c>
      <c r="K24" s="11" t="s">
        <v>123</v>
      </c>
      <c r="L24" s="13">
        <v>2097152</v>
      </c>
      <c r="M24" s="14" t="s">
        <v>124</v>
      </c>
      <c r="N24" s="14"/>
      <c r="O24" s="13"/>
      <c r="P24" s="20"/>
      <c r="Q24" s="13"/>
      <c r="R24" s="20"/>
      <c r="S24" s="13"/>
      <c r="T24" s="20" t="str">
        <f>K24</f>
        <v>BIT_22</v>
      </c>
      <c r="U24" s="13">
        <f>L24</f>
        <v>2097152</v>
      </c>
      <c r="V24" s="20"/>
      <c r="W24" s="13"/>
      <c r="X24" s="13" t="str">
        <f t="shared" si="6"/>
        <v xml:space="preserve">            BIT_22 ,</v>
      </c>
      <c r="Y24" s="13" t="str">
        <f t="shared" si="7"/>
        <v xml:space="preserve">    public const uint BIT_NUMBER_22=22;</v>
      </c>
      <c r="Z24" s="13" t="str">
        <f t="shared" si="8"/>
        <v xml:space="preserve">    public const uint BIT_OFFSET_21=21;</v>
      </c>
    </row>
    <row r="25" spans="1:26" x14ac:dyDescent="0.25">
      <c r="A25" s="5">
        <f t="shared" si="1"/>
        <v>23</v>
      </c>
      <c r="B25" s="6">
        <f t="shared" si="2"/>
        <v>22</v>
      </c>
      <c r="C25" s="6" t="s">
        <v>125</v>
      </c>
      <c r="D25" s="6">
        <v>23</v>
      </c>
      <c r="E25" s="7" t="s">
        <v>126</v>
      </c>
      <c r="F25" s="6">
        <f t="shared" si="3"/>
        <v>4194304</v>
      </c>
      <c r="G25" s="6">
        <f t="shared" si="4"/>
        <v>23</v>
      </c>
      <c r="H25" s="6">
        <f t="shared" si="0"/>
        <v>22</v>
      </c>
      <c r="I25" s="6" t="str">
        <f t="shared" si="5"/>
        <v>0x00400000</v>
      </c>
      <c r="J25" s="6" t="s">
        <v>127</v>
      </c>
      <c r="K25" s="6" t="s">
        <v>128</v>
      </c>
      <c r="L25" s="8">
        <v>4194304</v>
      </c>
      <c r="M25" s="9" t="s">
        <v>129</v>
      </c>
      <c r="N25" s="9"/>
      <c r="O25" s="8"/>
      <c r="P25" s="21"/>
      <c r="Q25" s="8"/>
      <c r="R25" s="21"/>
      <c r="S25" s="8"/>
      <c r="T25" s="21"/>
      <c r="U25" s="8"/>
      <c r="V25" s="21" t="str">
        <f>K25</f>
        <v>BIT_23</v>
      </c>
      <c r="W25" s="8">
        <f>L25</f>
        <v>4194304</v>
      </c>
      <c r="X25" s="8" t="str">
        <f t="shared" si="6"/>
        <v xml:space="preserve">            BIT_23 ,</v>
      </c>
      <c r="Y25" s="8" t="str">
        <f t="shared" si="7"/>
        <v xml:space="preserve">    public const uint BIT_NUMBER_23=23;</v>
      </c>
      <c r="Z25" s="8" t="str">
        <f t="shared" si="8"/>
        <v xml:space="preserve">    public const uint BIT_OFFSET_22=22;</v>
      </c>
    </row>
    <row r="26" spans="1:26" x14ac:dyDescent="0.25">
      <c r="A26" s="10">
        <f t="shared" si="1"/>
        <v>24</v>
      </c>
      <c r="B26" s="11">
        <f t="shared" si="2"/>
        <v>23</v>
      </c>
      <c r="C26" s="11" t="s">
        <v>130</v>
      </c>
      <c r="D26" s="11">
        <v>24</v>
      </c>
      <c r="E26" s="12" t="s">
        <v>131</v>
      </c>
      <c r="F26" s="11">
        <f t="shared" si="3"/>
        <v>8388608</v>
      </c>
      <c r="G26" s="11">
        <f t="shared" si="4"/>
        <v>24</v>
      </c>
      <c r="H26" s="11">
        <f t="shared" si="0"/>
        <v>23</v>
      </c>
      <c r="I26" s="11" t="str">
        <f t="shared" si="5"/>
        <v>0x00800000</v>
      </c>
      <c r="J26" s="11" t="s">
        <v>132</v>
      </c>
      <c r="K26" s="11" t="s">
        <v>133</v>
      </c>
      <c r="L26" s="13">
        <v>8388608</v>
      </c>
      <c r="M26" s="14" t="s">
        <v>134</v>
      </c>
      <c r="N26" s="14"/>
      <c r="O26" s="13"/>
      <c r="P26" s="20" t="str">
        <f>K26</f>
        <v>BIT_24</v>
      </c>
      <c r="Q26" s="20">
        <f>L26</f>
        <v>8388608</v>
      </c>
      <c r="R26" s="20"/>
      <c r="S26" s="13"/>
      <c r="T26" s="20"/>
      <c r="U26" s="13"/>
      <c r="V26" s="20"/>
      <c r="W26" s="13"/>
      <c r="X26" s="13" t="str">
        <f t="shared" si="6"/>
        <v xml:space="preserve">            BIT_24 ,</v>
      </c>
      <c r="Y26" s="13" t="str">
        <f t="shared" si="7"/>
        <v xml:space="preserve">    public const uint BIT_NUMBER_24=24;</v>
      </c>
      <c r="Z26" s="13" t="str">
        <f t="shared" si="8"/>
        <v xml:space="preserve">    public const uint BIT_OFFSET_23=23;</v>
      </c>
    </row>
    <row r="27" spans="1:26" x14ac:dyDescent="0.25">
      <c r="A27" s="5">
        <f t="shared" si="1"/>
        <v>25</v>
      </c>
      <c r="B27" s="6">
        <f t="shared" si="2"/>
        <v>24</v>
      </c>
      <c r="C27" s="6" t="s">
        <v>135</v>
      </c>
      <c r="D27" s="6">
        <v>25</v>
      </c>
      <c r="E27" s="7" t="s">
        <v>136</v>
      </c>
      <c r="F27" s="6">
        <f t="shared" si="3"/>
        <v>16777216</v>
      </c>
      <c r="G27" s="6">
        <f t="shared" si="4"/>
        <v>25</v>
      </c>
      <c r="H27" s="6">
        <f t="shared" si="0"/>
        <v>24</v>
      </c>
      <c r="I27" s="6" t="str">
        <f t="shared" si="5"/>
        <v>0x01000000</v>
      </c>
      <c r="J27" s="6" t="s">
        <v>137</v>
      </c>
      <c r="K27" s="6" t="s">
        <v>138</v>
      </c>
      <c r="L27" s="8">
        <v>16777216</v>
      </c>
      <c r="M27" s="9" t="s">
        <v>139</v>
      </c>
      <c r="N27" s="9"/>
      <c r="O27" s="8"/>
      <c r="P27" s="21"/>
      <c r="Q27" s="8"/>
      <c r="R27" s="21"/>
      <c r="S27" s="8"/>
      <c r="T27" s="21"/>
      <c r="U27" s="8"/>
      <c r="V27" s="21" t="str">
        <f>K27</f>
        <v>BIT_25</v>
      </c>
      <c r="W27" s="8">
        <f>L27</f>
        <v>16777216</v>
      </c>
      <c r="X27" s="8" t="str">
        <f t="shared" si="6"/>
        <v xml:space="preserve">            BIT_25 ,</v>
      </c>
      <c r="Y27" s="8" t="str">
        <f t="shared" si="7"/>
        <v xml:space="preserve">    public const uint BIT_NUMBER_25=25;</v>
      </c>
      <c r="Z27" s="8" t="str">
        <f t="shared" si="8"/>
        <v xml:space="preserve">    public const uint BIT_OFFSET_24=24;</v>
      </c>
    </row>
    <row r="28" spans="1:26" x14ac:dyDescent="0.25">
      <c r="A28" s="10">
        <f t="shared" si="1"/>
        <v>26</v>
      </c>
      <c r="B28" s="11">
        <f t="shared" si="2"/>
        <v>25</v>
      </c>
      <c r="C28" s="11" t="s">
        <v>140</v>
      </c>
      <c r="D28" s="11">
        <v>26</v>
      </c>
      <c r="E28" s="12" t="s">
        <v>141</v>
      </c>
      <c r="F28" s="11">
        <f t="shared" si="3"/>
        <v>33554432</v>
      </c>
      <c r="G28" s="11">
        <f t="shared" si="4"/>
        <v>26</v>
      </c>
      <c r="H28" s="11">
        <f t="shared" si="0"/>
        <v>25</v>
      </c>
      <c r="I28" s="11" t="str">
        <f t="shared" si="5"/>
        <v>0x02000000</v>
      </c>
      <c r="J28" s="11" t="s">
        <v>142</v>
      </c>
      <c r="K28" s="11" t="s">
        <v>143</v>
      </c>
      <c r="L28" s="13">
        <v>33554432</v>
      </c>
      <c r="M28" s="14" t="s">
        <v>144</v>
      </c>
      <c r="N28" s="14"/>
      <c r="O28" s="13"/>
      <c r="P28" s="20"/>
      <c r="Q28" s="13"/>
      <c r="R28" s="20"/>
      <c r="S28" s="13"/>
      <c r="T28" s="20" t="str">
        <f>K28</f>
        <v>BIT_26</v>
      </c>
      <c r="U28" s="13">
        <f>L28</f>
        <v>33554432</v>
      </c>
      <c r="V28" s="20"/>
      <c r="W28" s="13"/>
      <c r="X28" s="13" t="str">
        <f t="shared" si="6"/>
        <v xml:space="preserve">            BIT_26 ,</v>
      </c>
      <c r="Y28" s="13" t="str">
        <f t="shared" si="7"/>
        <v xml:space="preserve">    public const uint BIT_NUMBER_26=26;</v>
      </c>
      <c r="Z28" s="13" t="str">
        <f t="shared" si="8"/>
        <v xml:space="preserve">    public const uint BIT_OFFSET_25=25;</v>
      </c>
    </row>
    <row r="29" spans="1:26" x14ac:dyDescent="0.25">
      <c r="A29" s="5">
        <f t="shared" si="1"/>
        <v>27</v>
      </c>
      <c r="B29" s="6">
        <f t="shared" si="2"/>
        <v>26</v>
      </c>
      <c r="C29" s="6" t="s">
        <v>145</v>
      </c>
      <c r="D29" s="6">
        <v>27</v>
      </c>
      <c r="E29" s="7" t="s">
        <v>146</v>
      </c>
      <c r="F29" s="6">
        <f t="shared" si="3"/>
        <v>67108864</v>
      </c>
      <c r="G29" s="6">
        <f t="shared" si="4"/>
        <v>27</v>
      </c>
      <c r="H29" s="6">
        <f t="shared" si="0"/>
        <v>26</v>
      </c>
      <c r="I29" s="6" t="str">
        <f t="shared" si="5"/>
        <v>0x04000000</v>
      </c>
      <c r="J29" s="6" t="s">
        <v>147</v>
      </c>
      <c r="K29" s="6" t="s">
        <v>148</v>
      </c>
      <c r="L29" s="8">
        <v>67108864</v>
      </c>
      <c r="M29" s="9" t="s">
        <v>149</v>
      </c>
      <c r="N29" s="9"/>
      <c r="O29" s="8"/>
      <c r="P29" s="21"/>
      <c r="Q29" s="8"/>
      <c r="R29" s="21"/>
      <c r="S29" s="8"/>
      <c r="T29" s="21"/>
      <c r="U29" s="8"/>
      <c r="V29" s="21" t="str">
        <f>K29</f>
        <v>BIT_27</v>
      </c>
      <c r="W29" s="8">
        <f>L29</f>
        <v>67108864</v>
      </c>
      <c r="X29" s="8" t="str">
        <f t="shared" si="6"/>
        <v xml:space="preserve">            BIT_27 ,</v>
      </c>
      <c r="Y29" s="8" t="str">
        <f t="shared" si="7"/>
        <v xml:space="preserve">    public const uint BIT_NUMBER_27=27;</v>
      </c>
      <c r="Z29" s="8" t="str">
        <f t="shared" si="8"/>
        <v xml:space="preserve">    public const uint BIT_OFFSET_26=26;</v>
      </c>
    </row>
    <row r="30" spans="1:26" x14ac:dyDescent="0.25">
      <c r="A30" s="10">
        <f t="shared" si="1"/>
        <v>28</v>
      </c>
      <c r="B30" s="11">
        <f t="shared" si="2"/>
        <v>27</v>
      </c>
      <c r="C30" s="11" t="s">
        <v>150</v>
      </c>
      <c r="D30" s="11">
        <v>28</v>
      </c>
      <c r="E30" s="12" t="s">
        <v>151</v>
      </c>
      <c r="F30" s="11">
        <f t="shared" si="3"/>
        <v>134217728</v>
      </c>
      <c r="G30" s="11">
        <f t="shared" si="4"/>
        <v>28</v>
      </c>
      <c r="H30" s="11">
        <f t="shared" si="0"/>
        <v>27</v>
      </c>
      <c r="I30" s="11" t="str">
        <f t="shared" si="5"/>
        <v>0x08000000</v>
      </c>
      <c r="J30" s="11" t="s">
        <v>152</v>
      </c>
      <c r="K30" s="11" t="s">
        <v>153</v>
      </c>
      <c r="L30" s="13">
        <v>134217728</v>
      </c>
      <c r="M30" s="14" t="s">
        <v>154</v>
      </c>
      <c r="N30" s="14"/>
      <c r="O30" s="13"/>
      <c r="P30" s="20"/>
      <c r="Q30" s="13"/>
      <c r="R30" s="20" t="str">
        <f>K30</f>
        <v>BIT_28</v>
      </c>
      <c r="S30" s="13">
        <f>L30</f>
        <v>134217728</v>
      </c>
      <c r="T30" s="20"/>
      <c r="U30" s="13"/>
      <c r="V30" s="20"/>
      <c r="W30" s="13"/>
      <c r="X30" s="13" t="str">
        <f t="shared" si="6"/>
        <v xml:space="preserve">            BIT_28 ,</v>
      </c>
      <c r="Y30" s="13" t="str">
        <f t="shared" si="7"/>
        <v xml:space="preserve">    public const uint BIT_NUMBER_28=28;</v>
      </c>
      <c r="Z30" s="13" t="str">
        <f t="shared" si="8"/>
        <v xml:space="preserve">    public const uint BIT_OFFSET_27=27;</v>
      </c>
    </row>
    <row r="31" spans="1:26" x14ac:dyDescent="0.25">
      <c r="A31" s="5">
        <f t="shared" si="1"/>
        <v>29</v>
      </c>
      <c r="B31" s="6">
        <f t="shared" si="2"/>
        <v>28</v>
      </c>
      <c r="C31" s="6" t="s">
        <v>155</v>
      </c>
      <c r="D31" s="6">
        <v>29</v>
      </c>
      <c r="E31" s="7" t="s">
        <v>156</v>
      </c>
      <c r="F31" s="6">
        <f t="shared" si="3"/>
        <v>268435456</v>
      </c>
      <c r="G31" s="6">
        <f t="shared" si="4"/>
        <v>29</v>
      </c>
      <c r="H31" s="6">
        <f t="shared" si="0"/>
        <v>28</v>
      </c>
      <c r="I31" s="6" t="str">
        <f t="shared" si="5"/>
        <v>0x10000000</v>
      </c>
      <c r="J31" s="6" t="s">
        <v>157</v>
      </c>
      <c r="K31" s="6" t="s">
        <v>158</v>
      </c>
      <c r="L31" s="8">
        <v>268435456</v>
      </c>
      <c r="M31" s="9" t="s">
        <v>159</v>
      </c>
      <c r="N31" s="9"/>
      <c r="O31" s="8"/>
      <c r="P31" s="21"/>
      <c r="Q31" s="8"/>
      <c r="R31" s="21"/>
      <c r="S31" s="8"/>
      <c r="T31" s="21"/>
      <c r="U31" s="8"/>
      <c r="V31" s="21" t="str">
        <f>K31</f>
        <v>BIT_29</v>
      </c>
      <c r="W31" s="8">
        <f>L31</f>
        <v>268435456</v>
      </c>
      <c r="X31" s="8" t="str">
        <f t="shared" si="6"/>
        <v xml:space="preserve">            BIT_29 ,</v>
      </c>
      <c r="Y31" s="8" t="str">
        <f t="shared" si="7"/>
        <v xml:space="preserve">    public const uint BIT_NUMBER_29=29;</v>
      </c>
      <c r="Z31" s="8" t="str">
        <f t="shared" si="8"/>
        <v xml:space="preserve">    public const uint BIT_OFFSET_28=28;</v>
      </c>
    </row>
    <row r="32" spans="1:26" x14ac:dyDescent="0.25">
      <c r="A32" s="10">
        <f t="shared" si="1"/>
        <v>30</v>
      </c>
      <c r="B32" s="11">
        <f t="shared" si="2"/>
        <v>29</v>
      </c>
      <c r="C32" s="11" t="s">
        <v>160</v>
      </c>
      <c r="D32" s="11">
        <v>30</v>
      </c>
      <c r="E32" s="12" t="s">
        <v>161</v>
      </c>
      <c r="F32" s="11">
        <f t="shared" si="3"/>
        <v>536870912</v>
      </c>
      <c r="G32" s="11">
        <f t="shared" si="4"/>
        <v>30</v>
      </c>
      <c r="H32" s="11">
        <f t="shared" si="0"/>
        <v>29</v>
      </c>
      <c r="I32" s="11" t="str">
        <f t="shared" si="5"/>
        <v>0x20000000</v>
      </c>
      <c r="J32" s="11" t="s">
        <v>162</v>
      </c>
      <c r="K32" s="11" t="s">
        <v>163</v>
      </c>
      <c r="L32" s="13">
        <v>536870912</v>
      </c>
      <c r="M32" s="14" t="s">
        <v>164</v>
      </c>
      <c r="N32" s="14"/>
      <c r="O32" s="13"/>
      <c r="P32" s="20"/>
      <c r="Q32" s="13"/>
      <c r="R32" s="20"/>
      <c r="S32" s="13"/>
      <c r="T32" s="20" t="str">
        <f>K32</f>
        <v>BIT_30</v>
      </c>
      <c r="U32" s="13">
        <f>L32</f>
        <v>536870912</v>
      </c>
      <c r="V32" s="20"/>
      <c r="W32" s="13"/>
      <c r="X32" s="13" t="str">
        <f t="shared" si="6"/>
        <v xml:space="preserve">            BIT_30 ,</v>
      </c>
      <c r="Y32" s="13" t="str">
        <f t="shared" si="7"/>
        <v xml:space="preserve">    public const uint BIT_NUMBER_30=30;</v>
      </c>
      <c r="Z32" s="13" t="str">
        <f t="shared" si="8"/>
        <v xml:space="preserve">    public const uint BIT_OFFSET_29=29;</v>
      </c>
    </row>
    <row r="33" spans="1:26" x14ac:dyDescent="0.25">
      <c r="A33" s="5">
        <f t="shared" si="1"/>
        <v>31</v>
      </c>
      <c r="B33" s="6">
        <f t="shared" si="2"/>
        <v>30</v>
      </c>
      <c r="C33" s="6" t="s">
        <v>165</v>
      </c>
      <c r="D33" s="6">
        <v>31</v>
      </c>
      <c r="E33" s="7" t="s">
        <v>166</v>
      </c>
      <c r="F33" s="6">
        <f t="shared" si="3"/>
        <v>1073741824</v>
      </c>
      <c r="G33" s="6">
        <f t="shared" si="4"/>
        <v>31</v>
      </c>
      <c r="H33" s="6">
        <f t="shared" si="0"/>
        <v>30</v>
      </c>
      <c r="I33" s="6" t="str">
        <f t="shared" si="5"/>
        <v>0x40000000</v>
      </c>
      <c r="J33" s="6" t="s">
        <v>167</v>
      </c>
      <c r="K33" s="6" t="s">
        <v>168</v>
      </c>
      <c r="L33" s="8">
        <v>1073741824</v>
      </c>
      <c r="M33" s="9" t="s">
        <v>169</v>
      </c>
      <c r="N33" s="9"/>
      <c r="O33" s="8"/>
      <c r="P33" s="21"/>
      <c r="Q33" s="8"/>
      <c r="R33" s="21"/>
      <c r="S33" s="8"/>
      <c r="T33" s="21"/>
      <c r="U33" s="8"/>
      <c r="V33" s="21" t="str">
        <f>K33</f>
        <v>BIT_31</v>
      </c>
      <c r="W33" s="8">
        <f>L33</f>
        <v>1073741824</v>
      </c>
      <c r="X33" s="8" t="str">
        <f t="shared" si="6"/>
        <v xml:space="preserve">            BIT_31 ,</v>
      </c>
      <c r="Y33" s="8" t="str">
        <f t="shared" si="7"/>
        <v xml:space="preserve">    public const uint BIT_NUMBER_31=31;</v>
      </c>
      <c r="Z33" s="8" t="str">
        <f t="shared" si="8"/>
        <v xml:space="preserve">    public const uint BIT_OFFSET_30=30;</v>
      </c>
    </row>
    <row r="34" spans="1:26" x14ac:dyDescent="0.25">
      <c r="A34" s="15">
        <f t="shared" si="1"/>
        <v>32</v>
      </c>
      <c r="B34" s="16">
        <f t="shared" si="2"/>
        <v>31</v>
      </c>
      <c r="C34" s="16" t="s">
        <v>170</v>
      </c>
      <c r="D34" s="16">
        <v>32</v>
      </c>
      <c r="E34" s="17" t="s">
        <v>171</v>
      </c>
      <c r="F34" s="16">
        <f t="shared" si="3"/>
        <v>2147483648</v>
      </c>
      <c r="G34" s="16">
        <f t="shared" si="4"/>
        <v>32</v>
      </c>
      <c r="H34" s="16">
        <f t="shared" si="0"/>
        <v>31</v>
      </c>
      <c r="I34" s="16" t="str">
        <f t="shared" si="5"/>
        <v>0x80000000</v>
      </c>
      <c r="J34" s="16" t="s">
        <v>172</v>
      </c>
      <c r="K34" s="16" t="s">
        <v>173</v>
      </c>
      <c r="L34" s="18">
        <v>2147483648</v>
      </c>
      <c r="M34" s="19" t="s">
        <v>174</v>
      </c>
      <c r="N34" s="19" t="str">
        <f>+K34</f>
        <v>BIT_32</v>
      </c>
      <c r="O34" s="18">
        <f>+L34</f>
        <v>2147483648</v>
      </c>
      <c r="P34" s="22"/>
      <c r="Q34" s="18"/>
      <c r="R34" s="22"/>
      <c r="S34" s="18"/>
      <c r="T34" s="22"/>
      <c r="U34" s="18"/>
      <c r="V34" s="22"/>
      <c r="W34" s="18"/>
      <c r="X34" s="18" t="str">
        <f t="shared" si="6"/>
        <v xml:space="preserve">            BIT_32 ,</v>
      </c>
      <c r="Y34" s="18" t="str">
        <f t="shared" si="7"/>
        <v xml:space="preserve">    public const uint BIT_NUMBER_32=32;</v>
      </c>
      <c r="Z34" s="18" t="str">
        <f t="shared" si="8"/>
        <v xml:space="preserve">    public const uint BIT_OFFSET_31=31;</v>
      </c>
    </row>
  </sheetData>
  <mergeCells count="9">
    <mergeCell ref="R1:S1"/>
    <mergeCell ref="T1:U1"/>
    <mergeCell ref="V1:W1"/>
    <mergeCell ref="A1:D1"/>
    <mergeCell ref="E1:F1"/>
    <mergeCell ref="G1:I1"/>
    <mergeCell ref="J1:M1"/>
    <mergeCell ref="N1:O1"/>
    <mergeCell ref="P1:Q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499984740745262"/>
  </sheetPr>
  <dimension ref="A1:O22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A3" sqref="A3"/>
    </sheetView>
  </sheetViews>
  <sheetFormatPr defaultRowHeight="15" x14ac:dyDescent="0.25"/>
  <cols>
    <col min="1" max="1" width="22.5" bestFit="1" customWidth="1"/>
    <col min="2" max="2" width="18.5" bestFit="1" customWidth="1"/>
    <col min="3" max="3" width="13.875" bestFit="1" customWidth="1"/>
    <col min="4" max="4" width="11.875" bestFit="1" customWidth="1"/>
    <col min="5" max="5" width="10.75" bestFit="1" customWidth="1"/>
    <col min="6" max="6" width="22.25" bestFit="1" customWidth="1"/>
    <col min="7" max="7" width="18.125" bestFit="1" customWidth="1"/>
    <col min="8" max="8" width="13.5" customWidth="1"/>
    <col min="9" max="9" width="11.875" bestFit="1" customWidth="1"/>
    <col min="10" max="10" width="10.875" bestFit="1" customWidth="1"/>
    <col min="11" max="11" width="22.5" bestFit="1" customWidth="1"/>
    <col min="12" max="12" width="18.125" bestFit="1" customWidth="1"/>
    <col min="13" max="13" width="13.5" customWidth="1"/>
    <col min="14" max="14" width="11.875" bestFit="1" customWidth="1"/>
    <col min="15" max="15" width="10.875" bestFit="1" customWidth="1"/>
  </cols>
  <sheetData>
    <row r="1" spans="1:15" ht="19.5" x14ac:dyDescent="0.25">
      <c r="A1" s="98" t="s">
        <v>14</v>
      </c>
      <c r="B1" s="97"/>
      <c r="C1" s="97"/>
      <c r="D1" s="97"/>
      <c r="E1" s="99"/>
      <c r="F1" s="100" t="s">
        <v>189</v>
      </c>
      <c r="G1" s="101"/>
      <c r="H1" s="101"/>
      <c r="I1" s="101"/>
      <c r="J1" s="102"/>
      <c r="K1" s="103" t="s">
        <v>189</v>
      </c>
      <c r="L1" s="104"/>
      <c r="M1" s="104"/>
      <c r="N1" s="104"/>
      <c r="O1" s="105"/>
    </row>
    <row r="2" spans="1:15" x14ac:dyDescent="0.25">
      <c r="A2" s="26" t="s">
        <v>192</v>
      </c>
      <c r="B2" s="27" t="s">
        <v>193</v>
      </c>
      <c r="C2" s="27" t="s">
        <v>194</v>
      </c>
      <c r="D2" s="27" t="s">
        <v>195</v>
      </c>
      <c r="E2" s="27" t="s">
        <v>196</v>
      </c>
      <c r="F2" s="29" t="s">
        <v>192</v>
      </c>
      <c r="G2" s="30" t="s">
        <v>193</v>
      </c>
      <c r="H2" s="30" t="s">
        <v>194</v>
      </c>
      <c r="I2" s="30" t="s">
        <v>195</v>
      </c>
      <c r="J2" s="30" t="s">
        <v>196</v>
      </c>
      <c r="K2" s="38" t="s">
        <v>192</v>
      </c>
      <c r="L2" s="39" t="s">
        <v>193</v>
      </c>
      <c r="M2" s="39" t="s">
        <v>194</v>
      </c>
      <c r="N2" s="39" t="s">
        <v>195</v>
      </c>
      <c r="O2" s="40" t="s">
        <v>196</v>
      </c>
    </row>
    <row r="3" spans="1:15" x14ac:dyDescent="0.25">
      <c r="A3" s="5">
        <v>4</v>
      </c>
      <c r="B3" s="6">
        <v>0</v>
      </c>
      <c r="C3" s="6">
        <v>8</v>
      </c>
      <c r="D3" s="6">
        <v>3</v>
      </c>
      <c r="E3" s="6">
        <v>15</v>
      </c>
      <c r="F3" s="31" t="str">
        <f>CONCATENATE("0x",DEC2HEX(A3,8))</f>
        <v>0x00000004</v>
      </c>
      <c r="G3" s="32" t="str">
        <f>CONCATENATE("0x",DEC2HEX(B3,8))</f>
        <v>0x00000000</v>
      </c>
      <c r="H3" s="32" t="str">
        <f>CONCATENATE("0x",DEC2HEX(C3,8))</f>
        <v>0x00000008</v>
      </c>
      <c r="I3" s="32" t="str">
        <f>CONCATENATE("0x",DEC2HEX(D3,8))</f>
        <v>0x00000003</v>
      </c>
      <c r="J3" s="32" t="str">
        <f>CONCATENATE("0x",DEC2HEX(E3,8))</f>
        <v>0x0000000F</v>
      </c>
      <c r="K3" s="41" t="str">
        <f>DEC2BIN(A4,8)</f>
        <v>00000100</v>
      </c>
      <c r="L3" s="42" t="str">
        <f>DEC2BIN(B4,8)</f>
        <v>00000000</v>
      </c>
      <c r="M3" s="42" t="str">
        <f>DEC2BIN(C4,8)</f>
        <v>00000000</v>
      </c>
      <c r="N3" s="42" t="str">
        <f>DEC2BIN(D4,8)</f>
        <v>00001111</v>
      </c>
      <c r="O3" s="43" t="str">
        <f>DEC2BIN(E4,8)</f>
        <v>00000111</v>
      </c>
    </row>
    <row r="4" spans="1:15" x14ac:dyDescent="0.25">
      <c r="A4" s="10">
        <v>4</v>
      </c>
      <c r="B4" s="11">
        <v>0</v>
      </c>
      <c r="C4" s="11">
        <v>0</v>
      </c>
      <c r="D4" s="11">
        <v>15</v>
      </c>
      <c r="E4" s="11">
        <v>7</v>
      </c>
      <c r="F4" s="33" t="str">
        <f t="shared" ref="F4:J22" si="0">CONCATENATE("0x",DEC2HEX(A4,8))</f>
        <v>0x00000004</v>
      </c>
      <c r="G4" s="34" t="str">
        <f t="shared" si="0"/>
        <v>0x00000000</v>
      </c>
      <c r="H4" s="34" t="str">
        <f t="shared" si="0"/>
        <v>0x00000000</v>
      </c>
      <c r="I4" s="34" t="str">
        <f t="shared" si="0"/>
        <v>0x0000000F</v>
      </c>
      <c r="J4" s="34" t="str">
        <f t="shared" si="0"/>
        <v>0x00000007</v>
      </c>
      <c r="K4" s="44" t="str">
        <f t="shared" ref="K4:O22" si="1">DEC2BIN(A5,8)</f>
        <v>00000100</v>
      </c>
      <c r="L4" s="45" t="str">
        <f t="shared" si="1"/>
        <v>00100000</v>
      </c>
      <c r="M4" s="45" t="str">
        <f t="shared" si="1"/>
        <v>00001000</v>
      </c>
      <c r="N4" s="45" t="str">
        <f t="shared" si="1"/>
        <v>00000111</v>
      </c>
      <c r="O4" s="46" t="str">
        <f t="shared" si="1"/>
        <v>00101111</v>
      </c>
    </row>
    <row r="5" spans="1:15" x14ac:dyDescent="0.25">
      <c r="A5" s="5">
        <v>4</v>
      </c>
      <c r="B5" s="6">
        <v>32</v>
      </c>
      <c r="C5" s="6">
        <v>8</v>
      </c>
      <c r="D5" s="6">
        <v>7</v>
      </c>
      <c r="E5" s="6">
        <v>47</v>
      </c>
      <c r="F5" s="31" t="str">
        <f t="shared" si="0"/>
        <v>0x00000004</v>
      </c>
      <c r="G5" s="32" t="str">
        <f t="shared" si="0"/>
        <v>0x00000020</v>
      </c>
      <c r="H5" s="32" t="str">
        <f t="shared" si="0"/>
        <v>0x00000008</v>
      </c>
      <c r="I5" s="32" t="str">
        <f t="shared" si="0"/>
        <v>0x00000007</v>
      </c>
      <c r="J5" s="32" t="str">
        <f t="shared" si="0"/>
        <v>0x0000002F</v>
      </c>
      <c r="K5" s="41" t="str">
        <f t="shared" si="1"/>
        <v>00000100</v>
      </c>
      <c r="L5" s="42" t="str">
        <f t="shared" si="1"/>
        <v>00100000</v>
      </c>
      <c r="M5" s="42" t="str">
        <f t="shared" si="1"/>
        <v>00000000</v>
      </c>
      <c r="N5" s="42" t="str">
        <f t="shared" si="1"/>
        <v>00101111</v>
      </c>
      <c r="O5" s="43" t="str">
        <f t="shared" si="1"/>
        <v>00100111</v>
      </c>
    </row>
    <row r="6" spans="1:15" x14ac:dyDescent="0.25">
      <c r="A6" s="10">
        <v>4</v>
      </c>
      <c r="B6" s="11">
        <v>32</v>
      </c>
      <c r="C6" s="11">
        <v>0</v>
      </c>
      <c r="D6" s="11">
        <v>47</v>
      </c>
      <c r="E6" s="11">
        <v>39</v>
      </c>
      <c r="F6" s="33" t="str">
        <f t="shared" si="0"/>
        <v>0x00000004</v>
      </c>
      <c r="G6" s="34" t="str">
        <f t="shared" si="0"/>
        <v>0x00000020</v>
      </c>
      <c r="H6" s="34" t="str">
        <f t="shared" si="0"/>
        <v>0x00000000</v>
      </c>
      <c r="I6" s="34" t="str">
        <f t="shared" si="0"/>
        <v>0x0000002F</v>
      </c>
      <c r="J6" s="34" t="str">
        <f t="shared" si="0"/>
        <v>0x00000027</v>
      </c>
      <c r="K6" s="44" t="str">
        <f t="shared" si="1"/>
        <v>00000100</v>
      </c>
      <c r="L6" s="45" t="str">
        <f t="shared" si="1"/>
        <v>00100000</v>
      </c>
      <c r="M6" s="45" t="str">
        <f t="shared" si="1"/>
        <v>00001000</v>
      </c>
      <c r="N6" s="45" t="str">
        <f t="shared" si="1"/>
        <v>00100111</v>
      </c>
      <c r="O6" s="46" t="str">
        <f t="shared" si="1"/>
        <v>00101111</v>
      </c>
    </row>
    <row r="7" spans="1:15" x14ac:dyDescent="0.25">
      <c r="A7" s="5">
        <v>4</v>
      </c>
      <c r="B7" s="6">
        <v>32</v>
      </c>
      <c r="C7" s="6">
        <v>8</v>
      </c>
      <c r="D7" s="6">
        <v>39</v>
      </c>
      <c r="E7" s="6">
        <v>47</v>
      </c>
      <c r="F7" s="31" t="str">
        <f t="shared" si="0"/>
        <v>0x00000004</v>
      </c>
      <c r="G7" s="32" t="str">
        <f t="shared" si="0"/>
        <v>0x00000020</v>
      </c>
      <c r="H7" s="32" t="str">
        <f t="shared" si="0"/>
        <v>0x00000008</v>
      </c>
      <c r="I7" s="32" t="str">
        <f t="shared" si="0"/>
        <v>0x00000027</v>
      </c>
      <c r="J7" s="32" t="str">
        <f t="shared" si="0"/>
        <v>0x0000002F</v>
      </c>
      <c r="K7" s="41" t="str">
        <f t="shared" si="1"/>
        <v>00000100</v>
      </c>
      <c r="L7" s="42" t="str">
        <f t="shared" si="1"/>
        <v>00100000</v>
      </c>
      <c r="M7" s="42" t="str">
        <f t="shared" si="1"/>
        <v>00000000</v>
      </c>
      <c r="N7" s="42" t="str">
        <f t="shared" si="1"/>
        <v>00101111</v>
      </c>
      <c r="O7" s="43" t="str">
        <f t="shared" si="1"/>
        <v>00100111</v>
      </c>
    </row>
    <row r="8" spans="1:15" x14ac:dyDescent="0.25">
      <c r="A8" s="10">
        <v>4</v>
      </c>
      <c r="B8" s="11">
        <v>32</v>
      </c>
      <c r="C8" s="11">
        <v>0</v>
      </c>
      <c r="D8" s="11">
        <v>47</v>
      </c>
      <c r="E8" s="11">
        <v>39</v>
      </c>
      <c r="F8" s="33" t="str">
        <f t="shared" si="0"/>
        <v>0x00000004</v>
      </c>
      <c r="G8" s="34" t="str">
        <f t="shared" si="0"/>
        <v>0x00000020</v>
      </c>
      <c r="H8" s="34" t="str">
        <f t="shared" si="0"/>
        <v>0x00000000</v>
      </c>
      <c r="I8" s="34" t="str">
        <f t="shared" si="0"/>
        <v>0x0000002F</v>
      </c>
      <c r="J8" s="34" t="str">
        <f t="shared" si="0"/>
        <v>0x00000027</v>
      </c>
      <c r="K8" s="44" t="str">
        <f t="shared" si="1"/>
        <v>00000100</v>
      </c>
      <c r="L8" s="45" t="str">
        <f t="shared" si="1"/>
        <v>00000000</v>
      </c>
      <c r="M8" s="45" t="str">
        <f t="shared" si="1"/>
        <v>00001000</v>
      </c>
      <c r="N8" s="45" t="str">
        <f t="shared" si="1"/>
        <v>00100111</v>
      </c>
      <c r="O8" s="46" t="str">
        <f t="shared" si="1"/>
        <v>00001111</v>
      </c>
    </row>
    <row r="9" spans="1:15" x14ac:dyDescent="0.25">
      <c r="A9" s="5">
        <v>4</v>
      </c>
      <c r="B9" s="6">
        <v>0</v>
      </c>
      <c r="C9" s="6">
        <v>8</v>
      </c>
      <c r="D9" s="6">
        <v>39</v>
      </c>
      <c r="E9" s="6">
        <v>15</v>
      </c>
      <c r="F9" s="31" t="str">
        <f t="shared" si="0"/>
        <v>0x00000004</v>
      </c>
      <c r="G9" s="32" t="str">
        <f t="shared" si="0"/>
        <v>0x00000000</v>
      </c>
      <c r="H9" s="32" t="str">
        <f t="shared" si="0"/>
        <v>0x00000008</v>
      </c>
      <c r="I9" s="32" t="str">
        <f t="shared" si="0"/>
        <v>0x00000027</v>
      </c>
      <c r="J9" s="32" t="str">
        <f t="shared" si="0"/>
        <v>0x0000000F</v>
      </c>
      <c r="K9" s="41" t="str">
        <f t="shared" si="1"/>
        <v>00000100</v>
      </c>
      <c r="L9" s="42" t="str">
        <f t="shared" si="1"/>
        <v>00000000</v>
      </c>
      <c r="M9" s="42" t="str">
        <f t="shared" si="1"/>
        <v>00000000</v>
      </c>
      <c r="N9" s="42" t="str">
        <f t="shared" si="1"/>
        <v>00001111</v>
      </c>
      <c r="O9" s="43" t="str">
        <f t="shared" si="1"/>
        <v>00000111</v>
      </c>
    </row>
    <row r="10" spans="1:15" x14ac:dyDescent="0.25">
      <c r="A10" s="10">
        <v>4</v>
      </c>
      <c r="B10" s="11">
        <v>0</v>
      </c>
      <c r="C10" s="11">
        <v>0</v>
      </c>
      <c r="D10" s="11">
        <v>15</v>
      </c>
      <c r="E10" s="11">
        <v>7</v>
      </c>
      <c r="F10" s="33" t="str">
        <f t="shared" si="0"/>
        <v>0x00000004</v>
      </c>
      <c r="G10" s="34" t="str">
        <f t="shared" si="0"/>
        <v>0x00000000</v>
      </c>
      <c r="H10" s="34" t="str">
        <f t="shared" si="0"/>
        <v>0x00000000</v>
      </c>
      <c r="I10" s="34" t="str">
        <f t="shared" si="0"/>
        <v>0x0000000F</v>
      </c>
      <c r="J10" s="34" t="str">
        <f t="shared" si="0"/>
        <v>0x00000007</v>
      </c>
      <c r="K10" s="44" t="str">
        <f t="shared" si="1"/>
        <v>00000100</v>
      </c>
      <c r="L10" s="45" t="str">
        <f t="shared" si="1"/>
        <v>00000000</v>
      </c>
      <c r="M10" s="45" t="str">
        <f t="shared" si="1"/>
        <v>00001000</v>
      </c>
      <c r="N10" s="45" t="str">
        <f t="shared" si="1"/>
        <v>00000111</v>
      </c>
      <c r="O10" s="46" t="str">
        <f t="shared" si="1"/>
        <v>00001111</v>
      </c>
    </row>
    <row r="11" spans="1:15" x14ac:dyDescent="0.25">
      <c r="A11" s="5">
        <v>4</v>
      </c>
      <c r="B11" s="6">
        <v>0</v>
      </c>
      <c r="C11" s="6">
        <v>8</v>
      </c>
      <c r="D11" s="6">
        <v>7</v>
      </c>
      <c r="E11" s="6">
        <v>15</v>
      </c>
      <c r="F11" s="31" t="str">
        <f t="shared" si="0"/>
        <v>0x00000004</v>
      </c>
      <c r="G11" s="32" t="str">
        <f t="shared" si="0"/>
        <v>0x00000000</v>
      </c>
      <c r="H11" s="32" t="str">
        <f t="shared" si="0"/>
        <v>0x00000008</v>
      </c>
      <c r="I11" s="32" t="str">
        <f t="shared" si="0"/>
        <v>0x00000007</v>
      </c>
      <c r="J11" s="32" t="str">
        <f t="shared" si="0"/>
        <v>0x0000000F</v>
      </c>
      <c r="K11" s="41" t="str">
        <f t="shared" si="1"/>
        <v>00000100</v>
      </c>
      <c r="L11" s="42" t="str">
        <f t="shared" si="1"/>
        <v>00000000</v>
      </c>
      <c r="M11" s="42" t="str">
        <f t="shared" si="1"/>
        <v>00000000</v>
      </c>
      <c r="N11" s="42" t="str">
        <f t="shared" si="1"/>
        <v>00001111</v>
      </c>
      <c r="O11" s="43" t="str">
        <f t="shared" si="1"/>
        <v>00000111</v>
      </c>
    </row>
    <row r="12" spans="1:15" x14ac:dyDescent="0.25">
      <c r="A12" s="10">
        <v>4</v>
      </c>
      <c r="B12" s="11">
        <v>0</v>
      </c>
      <c r="C12" s="11">
        <v>0</v>
      </c>
      <c r="D12" s="11">
        <v>15</v>
      </c>
      <c r="E12" s="11">
        <v>7</v>
      </c>
      <c r="F12" s="33" t="str">
        <f t="shared" si="0"/>
        <v>0x00000004</v>
      </c>
      <c r="G12" s="34" t="str">
        <f t="shared" si="0"/>
        <v>0x00000000</v>
      </c>
      <c r="H12" s="34" t="str">
        <f t="shared" si="0"/>
        <v>0x00000000</v>
      </c>
      <c r="I12" s="34" t="str">
        <f t="shared" si="0"/>
        <v>0x0000000F</v>
      </c>
      <c r="J12" s="34" t="str">
        <f t="shared" si="0"/>
        <v>0x00000007</v>
      </c>
      <c r="K12" s="44" t="str">
        <f t="shared" si="1"/>
        <v>00000000</v>
      </c>
      <c r="L12" s="45" t="str">
        <f t="shared" si="1"/>
        <v>00000000</v>
      </c>
      <c r="M12" s="45" t="str">
        <f t="shared" si="1"/>
        <v>00001000</v>
      </c>
      <c r="N12" s="45" t="str">
        <f t="shared" si="1"/>
        <v>00000111</v>
      </c>
      <c r="O12" s="46" t="str">
        <f t="shared" si="1"/>
        <v>00001011</v>
      </c>
    </row>
    <row r="13" spans="1:15" x14ac:dyDescent="0.25">
      <c r="A13" s="5">
        <v>0</v>
      </c>
      <c r="B13" s="6">
        <v>0</v>
      </c>
      <c r="C13" s="6">
        <v>8</v>
      </c>
      <c r="D13" s="6">
        <v>7</v>
      </c>
      <c r="E13" s="6">
        <v>11</v>
      </c>
      <c r="F13" s="31" t="str">
        <f t="shared" si="0"/>
        <v>0x00000000</v>
      </c>
      <c r="G13" s="32" t="str">
        <f t="shared" si="0"/>
        <v>0x00000000</v>
      </c>
      <c r="H13" s="32" t="str">
        <f t="shared" si="0"/>
        <v>0x00000008</v>
      </c>
      <c r="I13" s="32" t="str">
        <f t="shared" si="0"/>
        <v>0x00000007</v>
      </c>
      <c r="J13" s="32" t="str">
        <f t="shared" si="0"/>
        <v>0x0000000B</v>
      </c>
      <c r="K13" s="41" t="str">
        <f t="shared" si="1"/>
        <v>00000000</v>
      </c>
      <c r="L13" s="42" t="str">
        <f t="shared" si="1"/>
        <v>00000000</v>
      </c>
      <c r="M13" s="42" t="str">
        <f t="shared" si="1"/>
        <v>00000000</v>
      </c>
      <c r="N13" s="42" t="str">
        <f t="shared" si="1"/>
        <v>00001011</v>
      </c>
      <c r="O13" s="43" t="str">
        <f t="shared" si="1"/>
        <v>00000011</v>
      </c>
    </row>
    <row r="14" spans="1:15" x14ac:dyDescent="0.25">
      <c r="A14" s="10">
        <v>0</v>
      </c>
      <c r="B14" s="11">
        <v>0</v>
      </c>
      <c r="C14" s="11">
        <v>0</v>
      </c>
      <c r="D14" s="11">
        <v>11</v>
      </c>
      <c r="E14" s="11">
        <v>3</v>
      </c>
      <c r="F14" s="33" t="str">
        <f t="shared" si="0"/>
        <v>0x00000000</v>
      </c>
      <c r="G14" s="34" t="str">
        <f t="shared" si="0"/>
        <v>0x00000000</v>
      </c>
      <c r="H14" s="34" t="str">
        <f t="shared" si="0"/>
        <v>0x00000000</v>
      </c>
      <c r="I14" s="34" t="str">
        <f t="shared" si="0"/>
        <v>0x0000000B</v>
      </c>
      <c r="J14" s="34" t="str">
        <f t="shared" si="0"/>
        <v>0x00000003</v>
      </c>
      <c r="K14" s="44" t="str">
        <f t="shared" si="1"/>
        <v>00000000</v>
      </c>
      <c r="L14" s="45" t="str">
        <f t="shared" si="1"/>
        <v>00100000</v>
      </c>
      <c r="M14" s="45" t="str">
        <f t="shared" si="1"/>
        <v>00001000</v>
      </c>
      <c r="N14" s="45" t="str">
        <f t="shared" si="1"/>
        <v>00000011</v>
      </c>
      <c r="O14" s="46" t="str">
        <f t="shared" si="1"/>
        <v>00101011</v>
      </c>
    </row>
    <row r="15" spans="1:15" x14ac:dyDescent="0.25">
      <c r="A15" s="5">
        <v>0</v>
      </c>
      <c r="B15" s="6">
        <v>32</v>
      </c>
      <c r="C15" s="6">
        <v>8</v>
      </c>
      <c r="D15" s="6">
        <v>3</v>
      </c>
      <c r="E15" s="6">
        <v>43</v>
      </c>
      <c r="F15" s="31" t="str">
        <f t="shared" si="0"/>
        <v>0x00000000</v>
      </c>
      <c r="G15" s="32" t="str">
        <f t="shared" si="0"/>
        <v>0x00000020</v>
      </c>
      <c r="H15" s="32" t="str">
        <f t="shared" si="0"/>
        <v>0x00000008</v>
      </c>
      <c r="I15" s="32" t="str">
        <f t="shared" si="0"/>
        <v>0x00000003</v>
      </c>
      <c r="J15" s="32" t="str">
        <f t="shared" si="0"/>
        <v>0x0000002B</v>
      </c>
      <c r="K15" s="41" t="str">
        <f t="shared" si="1"/>
        <v>00000000</v>
      </c>
      <c r="L15" s="42" t="str">
        <f t="shared" si="1"/>
        <v>00100000</v>
      </c>
      <c r="M15" s="42" t="str">
        <f t="shared" si="1"/>
        <v>00000000</v>
      </c>
      <c r="N15" s="42" t="str">
        <f t="shared" si="1"/>
        <v>00101011</v>
      </c>
      <c r="O15" s="43" t="str">
        <f t="shared" si="1"/>
        <v>00100011</v>
      </c>
    </row>
    <row r="16" spans="1:15" x14ac:dyDescent="0.25">
      <c r="A16" s="10">
        <v>0</v>
      </c>
      <c r="B16" s="11">
        <v>32</v>
      </c>
      <c r="C16" s="11">
        <v>0</v>
      </c>
      <c r="D16" s="11">
        <v>43</v>
      </c>
      <c r="E16" s="11">
        <v>35</v>
      </c>
      <c r="F16" s="33" t="str">
        <f t="shared" si="0"/>
        <v>0x00000000</v>
      </c>
      <c r="G16" s="34" t="str">
        <f t="shared" si="0"/>
        <v>0x00000020</v>
      </c>
      <c r="H16" s="34" t="str">
        <f t="shared" si="0"/>
        <v>0x00000000</v>
      </c>
      <c r="I16" s="34" t="str">
        <f t="shared" si="0"/>
        <v>0x0000002B</v>
      </c>
      <c r="J16" s="34" t="str">
        <f t="shared" si="0"/>
        <v>0x00000023</v>
      </c>
      <c r="K16" s="44" t="str">
        <f t="shared" si="1"/>
        <v>00000000</v>
      </c>
      <c r="L16" s="45" t="str">
        <f t="shared" si="1"/>
        <v>00100000</v>
      </c>
      <c r="M16" s="45" t="str">
        <f t="shared" si="1"/>
        <v>00001000</v>
      </c>
      <c r="N16" s="45" t="str">
        <f t="shared" si="1"/>
        <v>00100011</v>
      </c>
      <c r="O16" s="46" t="str">
        <f t="shared" si="1"/>
        <v>00101011</v>
      </c>
    </row>
    <row r="17" spans="1:15" x14ac:dyDescent="0.25">
      <c r="A17" s="5">
        <v>0</v>
      </c>
      <c r="B17" s="6">
        <v>32</v>
      </c>
      <c r="C17" s="6">
        <v>8</v>
      </c>
      <c r="D17" s="6">
        <v>35</v>
      </c>
      <c r="E17" s="6">
        <v>43</v>
      </c>
      <c r="F17" s="31" t="str">
        <f t="shared" si="0"/>
        <v>0x00000000</v>
      </c>
      <c r="G17" s="32" t="str">
        <f t="shared" si="0"/>
        <v>0x00000020</v>
      </c>
      <c r="H17" s="32" t="str">
        <f t="shared" si="0"/>
        <v>0x00000008</v>
      </c>
      <c r="I17" s="32" t="str">
        <f t="shared" si="0"/>
        <v>0x00000023</v>
      </c>
      <c r="J17" s="32" t="str">
        <f t="shared" si="0"/>
        <v>0x0000002B</v>
      </c>
      <c r="K17" s="41" t="str">
        <f t="shared" si="1"/>
        <v>00000000</v>
      </c>
      <c r="L17" s="42" t="str">
        <f t="shared" si="1"/>
        <v>00100000</v>
      </c>
      <c r="M17" s="42" t="str">
        <f t="shared" si="1"/>
        <v>00000000</v>
      </c>
      <c r="N17" s="42" t="str">
        <f t="shared" si="1"/>
        <v>00101011</v>
      </c>
      <c r="O17" s="43" t="str">
        <f t="shared" si="1"/>
        <v>00100011</v>
      </c>
    </row>
    <row r="18" spans="1:15" x14ac:dyDescent="0.25">
      <c r="A18" s="10">
        <v>0</v>
      </c>
      <c r="B18" s="11">
        <v>32</v>
      </c>
      <c r="C18" s="11">
        <v>0</v>
      </c>
      <c r="D18" s="11">
        <v>43</v>
      </c>
      <c r="E18" s="11">
        <v>35</v>
      </c>
      <c r="F18" s="33" t="str">
        <f t="shared" si="0"/>
        <v>0x00000000</v>
      </c>
      <c r="G18" s="34" t="str">
        <f t="shared" si="0"/>
        <v>0x00000020</v>
      </c>
      <c r="H18" s="34" t="str">
        <f t="shared" si="0"/>
        <v>0x00000000</v>
      </c>
      <c r="I18" s="34" t="str">
        <f t="shared" si="0"/>
        <v>0x0000002B</v>
      </c>
      <c r="J18" s="34" t="str">
        <f t="shared" si="0"/>
        <v>0x00000023</v>
      </c>
      <c r="K18" s="44" t="str">
        <f t="shared" si="1"/>
        <v>00000000</v>
      </c>
      <c r="L18" s="45" t="str">
        <f t="shared" si="1"/>
        <v>00000000</v>
      </c>
      <c r="M18" s="45" t="str">
        <f t="shared" si="1"/>
        <v>00001000</v>
      </c>
      <c r="N18" s="45" t="str">
        <f t="shared" si="1"/>
        <v>00100011</v>
      </c>
      <c r="O18" s="46" t="str">
        <f t="shared" si="1"/>
        <v>00001011</v>
      </c>
    </row>
    <row r="19" spans="1:15" x14ac:dyDescent="0.25">
      <c r="A19" s="5">
        <v>0</v>
      </c>
      <c r="B19" s="6">
        <v>0</v>
      </c>
      <c r="C19" s="6">
        <v>8</v>
      </c>
      <c r="D19" s="6">
        <v>35</v>
      </c>
      <c r="E19" s="6">
        <v>11</v>
      </c>
      <c r="F19" s="31" t="str">
        <f t="shared" si="0"/>
        <v>0x00000000</v>
      </c>
      <c r="G19" s="32" t="str">
        <f t="shared" si="0"/>
        <v>0x00000000</v>
      </c>
      <c r="H19" s="32" t="str">
        <f t="shared" si="0"/>
        <v>0x00000008</v>
      </c>
      <c r="I19" s="32" t="str">
        <f t="shared" si="0"/>
        <v>0x00000023</v>
      </c>
      <c r="J19" s="32" t="str">
        <f t="shared" si="0"/>
        <v>0x0000000B</v>
      </c>
      <c r="K19" s="41" t="str">
        <f t="shared" si="1"/>
        <v>00000000</v>
      </c>
      <c r="L19" s="42" t="str">
        <f t="shared" si="1"/>
        <v>00000000</v>
      </c>
      <c r="M19" s="42" t="str">
        <f t="shared" si="1"/>
        <v>00000000</v>
      </c>
      <c r="N19" s="42" t="str">
        <f t="shared" si="1"/>
        <v>00001011</v>
      </c>
      <c r="O19" s="43" t="str">
        <f t="shared" si="1"/>
        <v>00000011</v>
      </c>
    </row>
    <row r="20" spans="1:15" x14ac:dyDescent="0.25">
      <c r="A20" s="10">
        <v>0</v>
      </c>
      <c r="B20" s="11">
        <v>0</v>
      </c>
      <c r="C20" s="11">
        <v>0</v>
      </c>
      <c r="D20" s="11">
        <v>11</v>
      </c>
      <c r="E20" s="11">
        <v>3</v>
      </c>
      <c r="F20" s="33" t="str">
        <f t="shared" si="0"/>
        <v>0x00000000</v>
      </c>
      <c r="G20" s="34" t="str">
        <f t="shared" si="0"/>
        <v>0x00000000</v>
      </c>
      <c r="H20" s="34" t="str">
        <f t="shared" si="0"/>
        <v>0x00000000</v>
      </c>
      <c r="I20" s="34" t="str">
        <f t="shared" si="0"/>
        <v>0x0000000B</v>
      </c>
      <c r="J20" s="34" t="str">
        <f t="shared" si="0"/>
        <v>0x00000003</v>
      </c>
      <c r="K20" s="44" t="str">
        <f t="shared" si="1"/>
        <v>00000000</v>
      </c>
      <c r="L20" s="45" t="str">
        <f t="shared" si="1"/>
        <v>00000000</v>
      </c>
      <c r="M20" s="45" t="str">
        <f t="shared" si="1"/>
        <v>00001000</v>
      </c>
      <c r="N20" s="45" t="str">
        <f t="shared" si="1"/>
        <v>00000011</v>
      </c>
      <c r="O20" s="46" t="str">
        <f t="shared" si="1"/>
        <v>00001011</v>
      </c>
    </row>
    <row r="21" spans="1:15" x14ac:dyDescent="0.25">
      <c r="A21" s="5">
        <v>0</v>
      </c>
      <c r="B21" s="6">
        <v>0</v>
      </c>
      <c r="C21" s="6">
        <v>8</v>
      </c>
      <c r="D21" s="6">
        <v>3</v>
      </c>
      <c r="E21" s="6">
        <v>11</v>
      </c>
      <c r="F21" s="31" t="str">
        <f t="shared" si="0"/>
        <v>0x00000000</v>
      </c>
      <c r="G21" s="32" t="str">
        <f t="shared" si="0"/>
        <v>0x00000000</v>
      </c>
      <c r="H21" s="32" t="str">
        <f t="shared" si="0"/>
        <v>0x00000008</v>
      </c>
      <c r="I21" s="32" t="str">
        <f t="shared" si="0"/>
        <v>0x00000003</v>
      </c>
      <c r="J21" s="32" t="str">
        <f t="shared" si="0"/>
        <v>0x0000000B</v>
      </c>
      <c r="K21" s="41" t="str">
        <f t="shared" si="1"/>
        <v>00000000</v>
      </c>
      <c r="L21" s="42" t="str">
        <f t="shared" si="1"/>
        <v>00000000</v>
      </c>
      <c r="M21" s="42" t="str">
        <f t="shared" si="1"/>
        <v>00000000</v>
      </c>
      <c r="N21" s="42" t="str">
        <f t="shared" si="1"/>
        <v>00001011</v>
      </c>
      <c r="O21" s="43" t="str">
        <f t="shared" si="1"/>
        <v>00000011</v>
      </c>
    </row>
    <row r="22" spans="1:15" x14ac:dyDescent="0.25">
      <c r="A22" s="15">
        <v>0</v>
      </c>
      <c r="B22" s="16">
        <v>0</v>
      </c>
      <c r="C22" s="16">
        <v>0</v>
      </c>
      <c r="D22" s="16">
        <v>11</v>
      </c>
      <c r="E22" s="16">
        <v>3</v>
      </c>
      <c r="F22" s="35" t="str">
        <f t="shared" si="0"/>
        <v>0x00000000</v>
      </c>
      <c r="G22" s="28" t="str">
        <f t="shared" si="0"/>
        <v>0x00000000</v>
      </c>
      <c r="H22" s="28" t="str">
        <f t="shared" si="0"/>
        <v>0x00000000</v>
      </c>
      <c r="I22" s="28" t="str">
        <f t="shared" si="0"/>
        <v>0x0000000B</v>
      </c>
      <c r="J22" s="28" t="str">
        <f t="shared" si="0"/>
        <v>0x00000003</v>
      </c>
      <c r="K22" s="47" t="str">
        <f t="shared" si="1"/>
        <v>00000000</v>
      </c>
      <c r="L22" s="36" t="str">
        <f t="shared" si="1"/>
        <v>00000000</v>
      </c>
      <c r="M22" s="36" t="str">
        <f t="shared" si="1"/>
        <v>00000000</v>
      </c>
      <c r="N22" s="36" t="str">
        <f t="shared" si="1"/>
        <v>00000000</v>
      </c>
      <c r="O22" s="37" t="str">
        <f t="shared" si="1"/>
        <v>00000000</v>
      </c>
    </row>
  </sheetData>
  <mergeCells count="3">
    <mergeCell ref="A1:E1"/>
    <mergeCell ref="F1:J1"/>
    <mergeCell ref="K1:O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499984740745262"/>
  </sheetPr>
  <dimension ref="A1:C7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defaultRowHeight="15" x14ac:dyDescent="0.25"/>
  <cols>
    <col min="1" max="1" width="27.875" bestFit="1" customWidth="1"/>
    <col min="2" max="2" width="14" bestFit="1" customWidth="1"/>
    <col min="3" max="3" width="13" customWidth="1"/>
  </cols>
  <sheetData>
    <row r="1" spans="1:3" ht="18" x14ac:dyDescent="0.25">
      <c r="A1" s="57" t="s">
        <v>197</v>
      </c>
      <c r="B1" s="58" t="s">
        <v>14</v>
      </c>
      <c r="C1" s="59" t="s">
        <v>189</v>
      </c>
    </row>
    <row r="2" spans="1:3" x14ac:dyDescent="0.25">
      <c r="A2" s="51" t="s">
        <v>187</v>
      </c>
      <c r="B2" s="52">
        <v>32</v>
      </c>
      <c r="C2" s="53" t="str">
        <f>CONCATENATE("0x",DEC2HEX(B2,8))</f>
        <v>0x00000020</v>
      </c>
    </row>
    <row r="3" spans="1:3" x14ac:dyDescent="0.25">
      <c r="A3" s="54" t="s">
        <v>188</v>
      </c>
      <c r="B3" s="55">
        <v>4294967263</v>
      </c>
      <c r="C3" s="56" t="str">
        <f>CONCATENATE("0x",DEC2HEX(B3,8))</f>
        <v>0xFFFFFFDF</v>
      </c>
    </row>
    <row r="4" spans="1:3" x14ac:dyDescent="0.25">
      <c r="A4" s="51" t="s">
        <v>190</v>
      </c>
      <c r="B4" s="52">
        <v>8</v>
      </c>
      <c r="C4" s="53" t="str">
        <f>CONCATENATE("0x",DEC2HEX(B4,8))</f>
        <v>0x00000008</v>
      </c>
    </row>
    <row r="5" spans="1:3" x14ac:dyDescent="0.25">
      <c r="A5" s="48" t="s">
        <v>191</v>
      </c>
      <c r="B5" s="49">
        <v>4294967287</v>
      </c>
      <c r="C5" s="50" t="str">
        <f>CONCATENATE("0x",DEC2HEX(B5,8))</f>
        <v>0xFFFFFFF7</v>
      </c>
    </row>
    <row r="6" spans="1:3" x14ac:dyDescent="0.25">
      <c r="B6" s="25"/>
    </row>
    <row r="7" spans="1:3" x14ac:dyDescent="0.25">
      <c r="B7" s="25"/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Views>
    <sheetView topLeftCell="D1" workbookViewId="0">
      <pane xSplit="2" ySplit="7" topLeftCell="F8" activePane="bottomRight" state="frozen"/>
      <selection activeCell="D1" sqref="D1"/>
      <selection pane="topRight" activeCell="F1" sqref="F1"/>
      <selection pane="bottomLeft" activeCell="D8" sqref="D8"/>
      <selection pane="bottomRight" activeCell="F8" sqref="F8"/>
    </sheetView>
  </sheetViews>
  <sheetFormatPr defaultRowHeight="15" x14ac:dyDescent="0.25"/>
  <cols>
    <col min="1" max="1" width="183.125" hidden="1" customWidth="1"/>
    <col min="2" max="2" width="169.75" hidden="1" customWidth="1"/>
    <col min="3" max="3" width="96.5" hidden="1" customWidth="1"/>
    <col min="4" max="4" width="30.5" bestFit="1" customWidth="1"/>
    <col min="5" max="5" width="27.875" bestFit="1" customWidth="1"/>
    <col min="6" max="6" width="8.875" bestFit="1" customWidth="1"/>
    <col min="7" max="7" width="159.375" bestFit="1" customWidth="1"/>
  </cols>
  <sheetData>
    <row r="1" spans="1:7" ht="18" x14ac:dyDescent="0.25">
      <c r="A1" s="60" t="s">
        <v>264</v>
      </c>
      <c r="B1" s="61" t="s">
        <v>263</v>
      </c>
      <c r="E1" s="60" t="s">
        <v>268</v>
      </c>
    </row>
    <row r="2" spans="1:7" ht="15.75" x14ac:dyDescent="0.25">
      <c r="E2" s="68" t="s">
        <v>269</v>
      </c>
    </row>
    <row r="3" spans="1:7" ht="15.75" x14ac:dyDescent="0.25">
      <c r="E3" s="69" t="s">
        <v>270</v>
      </c>
    </row>
    <row r="4" spans="1:7" ht="15.75" x14ac:dyDescent="0.25">
      <c r="E4" s="72" t="s">
        <v>271</v>
      </c>
    </row>
    <row r="7" spans="1:7" ht="18" x14ac:dyDescent="0.25">
      <c r="A7" s="60" t="s">
        <v>259</v>
      </c>
      <c r="B7" s="60" t="s">
        <v>262</v>
      </c>
      <c r="C7" s="60" t="s">
        <v>265</v>
      </c>
      <c r="D7" s="60" t="s">
        <v>266</v>
      </c>
      <c r="E7" s="60" t="s">
        <v>267</v>
      </c>
      <c r="F7" s="60" t="s">
        <v>260</v>
      </c>
      <c r="G7" s="60" t="s">
        <v>261</v>
      </c>
    </row>
    <row r="8" spans="1:7" x14ac:dyDescent="0.25">
      <c r="A8" s="62" t="s">
        <v>198</v>
      </c>
      <c r="B8" s="62" t="str">
        <f>[1]!GetFolder(A8)</f>
        <v>C:\Documents and Settings\DAG\My Documents\Visual Studio 2010\Projects\WizardWrx_Libs\ApplicationHelpers\ApplicationHelpersTestHarness\ApplicationHelpersTestHarness</v>
      </c>
      <c r="C8" s="64" t="str">
        <f t="shared" ref="C8:C39" si="0">IF(LEN(B8)&gt;LEN(Visual_Studio_Project_Source_Code_Root),RIGHT(B8,LEN(B8)-LEN(Visual_Studio_Project_Source_Code_Root)),"")</f>
        <v>WizardWrx_Libs\ApplicationHelpers\ApplicationHelpersTestHarness\ApplicationHelpersTestHarness</v>
      </c>
      <c r="D8" s="64" t="str">
        <f>RIGHT(C8,LEN(C8)-[1]!FindFromRightEnd("\",C8))</f>
        <v>ApplicationHelpersTestHarness</v>
      </c>
      <c r="E8" s="64" t="str">
        <f>[1]!GetFile(A8)</f>
        <v>Program.cs</v>
      </c>
      <c r="F8" s="64">
        <v>1188</v>
      </c>
      <c r="G8" s="65" t="s">
        <v>199</v>
      </c>
    </row>
    <row r="9" spans="1:7" x14ac:dyDescent="0.25">
      <c r="A9" s="63" t="s">
        <v>198</v>
      </c>
      <c r="B9" s="63" t="str">
        <f>[1]!GetFolder(A9)</f>
        <v>C:\Documents and Settings\DAG\My Documents\Visual Studio 2010\Projects\WizardWrx_Libs\ApplicationHelpers\ApplicationHelpersTestHarness\ApplicationHelpersTestHarness</v>
      </c>
      <c r="C9" s="66" t="str">
        <f t="shared" si="0"/>
        <v>WizardWrx_Libs\ApplicationHelpers\ApplicationHelpersTestHarness\ApplicationHelpersTestHarness</v>
      </c>
      <c r="D9" s="66" t="str">
        <f>RIGHT(C9,LEN(C9)-[1]!FindFromRightEnd("\",C9))</f>
        <v>ApplicationHelpersTestHarness</v>
      </c>
      <c r="E9" s="66" t="str">
        <f>[1]!GetFile(A9)</f>
        <v>Program.cs</v>
      </c>
      <c r="F9" s="66">
        <v>1193</v>
      </c>
      <c r="G9" s="67" t="s">
        <v>200</v>
      </c>
    </row>
    <row r="10" spans="1:7" x14ac:dyDescent="0.25">
      <c r="A10" s="63" t="s">
        <v>198</v>
      </c>
      <c r="B10" s="63" t="str">
        <f>[1]!GetFolder(A10)</f>
        <v>C:\Documents and Settings\DAG\My Documents\Visual Studio 2010\Projects\WizardWrx_Libs\ApplicationHelpers\ApplicationHelpersTestHarness\ApplicationHelpersTestHarness</v>
      </c>
      <c r="C10" s="66" t="str">
        <f t="shared" si="0"/>
        <v>WizardWrx_Libs\ApplicationHelpers\ApplicationHelpersTestHarness\ApplicationHelpersTestHarness</v>
      </c>
      <c r="D10" s="66" t="str">
        <f>RIGHT(C10,LEN(C10)-[1]!FindFromRightEnd("\",C10))</f>
        <v>ApplicationHelpersTestHarness</v>
      </c>
      <c r="E10" s="66" t="str">
        <f>[1]!GetFile(A10)</f>
        <v>Program.cs</v>
      </c>
      <c r="F10" s="66">
        <v>1198</v>
      </c>
      <c r="G10" s="67" t="s">
        <v>201</v>
      </c>
    </row>
    <row r="11" spans="1:7" x14ac:dyDescent="0.25">
      <c r="A11" s="61" t="s">
        <v>202</v>
      </c>
      <c r="B11" s="61" t="str">
        <f>[1]!GetFolder(A11)</f>
        <v>C:\Documents and Settings\DAG\My Documents\Visual Studio 2010\Projects\WizardWrx_Libs\BitMath\BitMath</v>
      </c>
      <c r="C11" s="61" t="str">
        <f t="shared" si="0"/>
        <v>WizardWrx_Libs\BitMath\BitMath</v>
      </c>
      <c r="D11" s="70" t="str">
        <f>RIGHT(C11,LEN(C11)-[1]!FindFromRightEnd("\",C11))</f>
        <v>BitMath</v>
      </c>
      <c r="E11" s="70" t="str">
        <f>[1]!GetFile(A11)</f>
        <v>BitArray32.cs</v>
      </c>
      <c r="F11" s="70">
        <v>36</v>
      </c>
      <c r="G11" s="71" t="s">
        <v>203</v>
      </c>
    </row>
    <row r="12" spans="1:7" x14ac:dyDescent="0.25">
      <c r="A12" s="61" t="s">
        <v>202</v>
      </c>
      <c r="B12" s="61" t="str">
        <f>[1]!GetFolder(A12)</f>
        <v>C:\Documents and Settings\DAG\My Documents\Visual Studio 2010\Projects\WizardWrx_Libs\BitMath\BitMath</v>
      </c>
      <c r="C12" s="61" t="str">
        <f t="shared" si="0"/>
        <v>WizardWrx_Libs\BitMath\BitMath</v>
      </c>
      <c r="D12" s="70" t="str">
        <f>RIGHT(C12,LEN(C12)-[1]!FindFromRightEnd("\",C12))</f>
        <v>BitMath</v>
      </c>
      <c r="E12" s="70" t="str">
        <f>[1]!GetFile(A12)</f>
        <v>BitArray32.cs</v>
      </c>
      <c r="F12" s="70">
        <v>697</v>
      </c>
      <c r="G12" s="71" t="s">
        <v>204</v>
      </c>
    </row>
    <row r="13" spans="1:7" x14ac:dyDescent="0.25">
      <c r="A13" s="61" t="s">
        <v>202</v>
      </c>
      <c r="B13" s="61" t="str">
        <f>[1]!GetFolder(A13)</f>
        <v>C:\Documents and Settings\DAG\My Documents\Visual Studio 2010\Projects\WizardWrx_Libs\BitMath\BitMath</v>
      </c>
      <c r="C13" s="61" t="str">
        <f t="shared" si="0"/>
        <v>WizardWrx_Libs\BitMath\BitMath</v>
      </c>
      <c r="D13" s="70" t="str">
        <f>RIGHT(C13,LEN(C13)-[1]!FindFromRightEnd("\",C13))</f>
        <v>BitMath</v>
      </c>
      <c r="E13" s="70" t="str">
        <f>[1]!GetFile(A13)</f>
        <v>BitArray32.cs</v>
      </c>
      <c r="F13" s="70">
        <v>701</v>
      </c>
      <c r="G13" s="71" t="s">
        <v>205</v>
      </c>
    </row>
    <row r="14" spans="1:7" x14ac:dyDescent="0.25">
      <c r="A14" s="61" t="s">
        <v>202</v>
      </c>
      <c r="B14" s="61" t="str">
        <f>[1]!GetFolder(A14)</f>
        <v>C:\Documents and Settings\DAG\My Documents\Visual Studio 2010\Projects\WizardWrx_Libs\BitMath\BitMath</v>
      </c>
      <c r="C14" s="61" t="str">
        <f t="shared" si="0"/>
        <v>WizardWrx_Libs\BitMath\BitMath</v>
      </c>
      <c r="D14" s="70" t="str">
        <f>RIGHT(C14,LEN(C14)-[1]!FindFromRightEnd("\",C14))</f>
        <v>BitMath</v>
      </c>
      <c r="E14" s="70" t="str">
        <f>[1]!GetFile(A14)</f>
        <v>BitArray32.cs</v>
      </c>
      <c r="F14" s="70">
        <v>741</v>
      </c>
      <c r="G14" s="71" t="s">
        <v>206</v>
      </c>
    </row>
    <row r="15" spans="1:7" x14ac:dyDescent="0.25">
      <c r="A15" s="61" t="s">
        <v>202</v>
      </c>
      <c r="B15" s="61" t="str">
        <f>[1]!GetFolder(A15)</f>
        <v>C:\Documents and Settings\DAG\My Documents\Visual Studio 2010\Projects\WizardWrx_Libs\BitMath\BitMath</v>
      </c>
      <c r="C15" s="61" t="str">
        <f t="shared" si="0"/>
        <v>WizardWrx_Libs\BitMath\BitMath</v>
      </c>
      <c r="D15" s="70" t="str">
        <f>RIGHT(C15,LEN(C15)-[1]!FindFromRightEnd("\",C15))</f>
        <v>BitMath</v>
      </c>
      <c r="E15" s="70" t="str">
        <f>[1]!GetFile(A15)</f>
        <v>BitArray32.cs</v>
      </c>
      <c r="F15" s="70">
        <v>748</v>
      </c>
      <c r="G15" s="71" t="s">
        <v>207</v>
      </c>
    </row>
    <row r="16" spans="1:7" x14ac:dyDescent="0.25">
      <c r="A16" s="61" t="s">
        <v>202</v>
      </c>
      <c r="B16" s="61" t="str">
        <f>[1]!GetFolder(A16)</f>
        <v>C:\Documents and Settings\DAG\My Documents\Visual Studio 2010\Projects\WizardWrx_Libs\BitMath\BitMath</v>
      </c>
      <c r="C16" s="61" t="str">
        <f t="shared" si="0"/>
        <v>WizardWrx_Libs\BitMath\BitMath</v>
      </c>
      <c r="D16" s="70" t="str">
        <f>RIGHT(C16,LEN(C16)-[1]!FindFromRightEnd("\",C16))</f>
        <v>BitMath</v>
      </c>
      <c r="E16" s="70" t="str">
        <f>[1]!GetFile(A16)</f>
        <v>BitArray32.cs</v>
      </c>
      <c r="F16" s="70">
        <v>756</v>
      </c>
      <c r="G16" s="71" t="s">
        <v>208</v>
      </c>
    </row>
    <row r="17" spans="1:7" x14ac:dyDescent="0.25">
      <c r="A17" s="61" t="s">
        <v>202</v>
      </c>
      <c r="B17" s="61" t="str">
        <f>[1]!GetFolder(A17)</f>
        <v>C:\Documents and Settings\DAG\My Documents\Visual Studio 2010\Projects\WizardWrx_Libs\BitMath\BitMath</v>
      </c>
      <c r="C17" s="61" t="str">
        <f t="shared" si="0"/>
        <v>WizardWrx_Libs\BitMath\BitMath</v>
      </c>
      <c r="D17" s="70" t="str">
        <f>RIGHT(C17,LEN(C17)-[1]!FindFromRightEnd("\",C17))</f>
        <v>BitMath</v>
      </c>
      <c r="E17" s="70" t="str">
        <f>[1]!GetFile(A17)</f>
        <v>BitArray32.cs</v>
      </c>
      <c r="F17" s="70">
        <v>773</v>
      </c>
      <c r="G17" s="71" t="s">
        <v>206</v>
      </c>
    </row>
    <row r="18" spans="1:7" x14ac:dyDescent="0.25">
      <c r="A18" s="61" t="s">
        <v>202</v>
      </c>
      <c r="B18" s="61" t="str">
        <f>[1]!GetFolder(A18)</f>
        <v>C:\Documents and Settings\DAG\My Documents\Visual Studio 2010\Projects\WizardWrx_Libs\BitMath\BitMath</v>
      </c>
      <c r="C18" s="61" t="str">
        <f t="shared" si="0"/>
        <v>WizardWrx_Libs\BitMath\BitMath</v>
      </c>
      <c r="D18" s="70" t="str">
        <f>RIGHT(C18,LEN(C18)-[1]!FindFromRightEnd("\",C18))</f>
        <v>BitMath</v>
      </c>
      <c r="E18" s="70" t="str">
        <f>[1]!GetFile(A18)</f>
        <v>BitArray32.cs</v>
      </c>
      <c r="F18" s="70">
        <v>944</v>
      </c>
      <c r="G18" s="71" t="s">
        <v>209</v>
      </c>
    </row>
    <row r="19" spans="1:7" x14ac:dyDescent="0.25">
      <c r="A19" s="61" t="s">
        <v>202</v>
      </c>
      <c r="B19" s="61" t="str">
        <f>[1]!GetFolder(A19)</f>
        <v>C:\Documents and Settings\DAG\My Documents\Visual Studio 2010\Projects\WizardWrx_Libs\BitMath\BitMath</v>
      </c>
      <c r="C19" s="61" t="str">
        <f t="shared" si="0"/>
        <v>WizardWrx_Libs\BitMath\BitMath</v>
      </c>
      <c r="D19" s="70" t="str">
        <f>RIGHT(C19,LEN(C19)-[1]!FindFromRightEnd("\",C19))</f>
        <v>BitMath</v>
      </c>
      <c r="E19" s="70" t="str">
        <f>[1]!GetFile(A19)</f>
        <v>BitArray32.cs</v>
      </c>
      <c r="F19" s="70">
        <v>959</v>
      </c>
      <c r="G19" s="71" t="s">
        <v>210</v>
      </c>
    </row>
    <row r="20" spans="1:7" x14ac:dyDescent="0.25">
      <c r="A20" s="61" t="s">
        <v>202</v>
      </c>
      <c r="B20" s="61" t="str">
        <f>[1]!GetFolder(A20)</f>
        <v>C:\Documents and Settings\DAG\My Documents\Visual Studio 2010\Projects\WizardWrx_Libs\BitMath\BitMath</v>
      </c>
      <c r="C20" s="61" t="str">
        <f t="shared" si="0"/>
        <v>WizardWrx_Libs\BitMath\BitMath</v>
      </c>
      <c r="D20" s="70" t="str">
        <f>RIGHT(C20,LEN(C20)-[1]!FindFromRightEnd("\",C20))</f>
        <v>BitMath</v>
      </c>
      <c r="E20" s="70" t="str">
        <f>[1]!GetFile(A20)</f>
        <v>BitArray32.cs</v>
      </c>
      <c r="F20" s="70">
        <v>975</v>
      </c>
      <c r="G20" s="71" t="s">
        <v>211</v>
      </c>
    </row>
    <row r="21" spans="1:7" x14ac:dyDescent="0.25">
      <c r="A21" s="61" t="s">
        <v>212</v>
      </c>
      <c r="B21" s="61" t="str">
        <f>[1]!GetFolder(A21)</f>
        <v>C:\Documents and Settings\DAG\My Documents\Visual Studio 2010\Projects\WizardWrx_Libs\BitMath\TestStand</v>
      </c>
      <c r="C21" s="61" t="str">
        <f t="shared" si="0"/>
        <v>WizardWrx_Libs\BitMath\TestStand</v>
      </c>
      <c r="D21" s="70" t="str">
        <f>RIGHT(C21,LEN(C21)-[1]!FindFromRightEnd("\",C21))</f>
        <v>TestStand</v>
      </c>
      <c r="E21" s="70" t="str">
        <f>[1]!GetFile(A21)</f>
        <v>BitArray32TestStand.cs</v>
      </c>
      <c r="F21" s="70">
        <v>222</v>
      </c>
      <c r="G21" s="71" t="s">
        <v>213</v>
      </c>
    </row>
    <row r="22" spans="1:7" x14ac:dyDescent="0.25">
      <c r="A22" s="61" t="s">
        <v>212</v>
      </c>
      <c r="B22" s="61" t="str">
        <f>[1]!GetFolder(A22)</f>
        <v>C:\Documents and Settings\DAG\My Documents\Visual Studio 2010\Projects\WizardWrx_Libs\BitMath\TestStand</v>
      </c>
      <c r="C22" s="61" t="str">
        <f t="shared" si="0"/>
        <v>WizardWrx_Libs\BitMath\TestStand</v>
      </c>
      <c r="D22" s="70" t="str">
        <f>RIGHT(C22,LEN(C22)-[1]!FindFromRightEnd("\",C22))</f>
        <v>TestStand</v>
      </c>
      <c r="E22" s="70" t="str">
        <f>[1]!GetFile(A22)</f>
        <v>BitArray32TestStand.cs</v>
      </c>
      <c r="F22" s="70">
        <v>235</v>
      </c>
      <c r="G22" s="71" t="s">
        <v>214</v>
      </c>
    </row>
    <row r="23" spans="1:7" x14ac:dyDescent="0.25">
      <c r="A23" s="61" t="s">
        <v>212</v>
      </c>
      <c r="B23" s="61" t="str">
        <f>[1]!GetFolder(A23)</f>
        <v>C:\Documents and Settings\DAG\My Documents\Visual Studio 2010\Projects\WizardWrx_Libs\BitMath\TestStand</v>
      </c>
      <c r="C23" s="61" t="str">
        <f t="shared" si="0"/>
        <v>WizardWrx_Libs\BitMath\TestStand</v>
      </c>
      <c r="D23" s="70" t="str">
        <f>RIGHT(C23,LEN(C23)-[1]!FindFromRightEnd("\",C23))</f>
        <v>TestStand</v>
      </c>
      <c r="E23" s="70" t="str">
        <f>[1]!GetFile(A23)</f>
        <v>BitArray32TestStand.cs</v>
      </c>
      <c r="F23" s="70">
        <v>240</v>
      </c>
      <c r="G23" s="71" t="s">
        <v>215</v>
      </c>
    </row>
    <row r="24" spans="1:7" x14ac:dyDescent="0.25">
      <c r="A24" s="61" t="s">
        <v>212</v>
      </c>
      <c r="B24" s="61" t="str">
        <f>[1]!GetFolder(A24)</f>
        <v>C:\Documents and Settings\DAG\My Documents\Visual Studio 2010\Projects\WizardWrx_Libs\BitMath\TestStand</v>
      </c>
      <c r="C24" s="61" t="str">
        <f t="shared" si="0"/>
        <v>WizardWrx_Libs\BitMath\TestStand</v>
      </c>
      <c r="D24" s="70" t="str">
        <f>RIGHT(C24,LEN(C24)-[1]!FindFromRightEnd("\",C24))</f>
        <v>TestStand</v>
      </c>
      <c r="E24" s="70" t="str">
        <f>[1]!GetFile(A24)</f>
        <v>BitArray32TestStand.cs</v>
      </c>
      <c r="F24" s="70">
        <v>338</v>
      </c>
      <c r="G24" s="71" t="s">
        <v>216</v>
      </c>
    </row>
    <row r="25" spans="1:7" x14ac:dyDescent="0.25">
      <c r="A25" s="61" t="s">
        <v>212</v>
      </c>
      <c r="B25" s="61" t="str">
        <f>[1]!GetFolder(A25)</f>
        <v>C:\Documents and Settings\DAG\My Documents\Visual Studio 2010\Projects\WizardWrx_Libs\BitMath\TestStand</v>
      </c>
      <c r="C25" s="61" t="str">
        <f t="shared" si="0"/>
        <v>WizardWrx_Libs\BitMath\TestStand</v>
      </c>
      <c r="D25" s="70" t="str">
        <f>RIGHT(C25,LEN(C25)-[1]!FindFromRightEnd("\",C25))</f>
        <v>TestStand</v>
      </c>
      <c r="E25" s="70" t="str">
        <f>[1]!GetFile(A25)</f>
        <v>BitArray32TestStand.cs</v>
      </c>
      <c r="F25" s="70">
        <v>343</v>
      </c>
      <c r="G25" s="71" t="s">
        <v>217</v>
      </c>
    </row>
    <row r="26" spans="1:7" x14ac:dyDescent="0.25">
      <c r="A26" s="61" t="s">
        <v>212</v>
      </c>
      <c r="B26" s="61" t="str">
        <f>[1]!GetFolder(A26)</f>
        <v>C:\Documents and Settings\DAG\My Documents\Visual Studio 2010\Projects\WizardWrx_Libs\BitMath\TestStand</v>
      </c>
      <c r="C26" s="61" t="str">
        <f t="shared" si="0"/>
        <v>WizardWrx_Libs\BitMath\TestStand</v>
      </c>
      <c r="D26" s="70" t="str">
        <f>RIGHT(C26,LEN(C26)-[1]!FindFromRightEnd("\",C26))</f>
        <v>TestStand</v>
      </c>
      <c r="E26" s="70" t="str">
        <f>[1]!GetFile(A26)</f>
        <v>BitArray32TestStand.cs</v>
      </c>
      <c r="F26" s="70">
        <v>348</v>
      </c>
      <c r="G26" s="71" t="s">
        <v>218</v>
      </c>
    </row>
    <row r="27" spans="1:7" x14ac:dyDescent="0.25">
      <c r="A27" s="61" t="s">
        <v>219</v>
      </c>
      <c r="B27" s="61" t="str">
        <f>[1]!GetFolder(A27)</f>
        <v>C:\Documents and Settings\DAG\My Documents\Visual Studio 2010\Projects\WizardWrx_Libs\BitMath\TestStand</v>
      </c>
      <c r="C27" s="61" t="str">
        <f t="shared" si="0"/>
        <v>WizardWrx_Libs\BitMath\TestStand</v>
      </c>
      <c r="D27" s="70" t="str">
        <f>RIGHT(C27,LEN(C27)-[1]!FindFromRightEnd("\",C27))</f>
        <v>TestStand</v>
      </c>
      <c r="E27" s="70" t="str">
        <f>[1]!GetFile(A27)</f>
        <v>Program.cs</v>
      </c>
      <c r="F27" s="70">
        <v>157</v>
      </c>
      <c r="G27" s="71" t="s">
        <v>220</v>
      </c>
    </row>
    <row r="28" spans="1:7" x14ac:dyDescent="0.25">
      <c r="A28" s="61" t="s">
        <v>221</v>
      </c>
      <c r="B28" s="61" t="str">
        <f>[1]!GetFolder(A28)</f>
        <v>C:\Documents and Settings\DAG\My Documents\Visual Studio 2010\Projects\WizardWrx_Libs\SharedUtl2\SharedUtl2</v>
      </c>
      <c r="C28" s="61" t="str">
        <f t="shared" si="0"/>
        <v>WizardWrx_Libs\SharedUtl2\SharedUtl2</v>
      </c>
      <c r="D28" s="73" t="str">
        <f>RIGHT(C28,LEN(C28)-[1]!FindFromRightEnd("\",C28))</f>
        <v>SharedUtl2</v>
      </c>
      <c r="E28" s="73" t="str">
        <f>[1]!GetFile(A28)</f>
        <v>BitMask32.cs</v>
      </c>
      <c r="F28" s="73">
        <v>296</v>
      </c>
      <c r="G28" s="74" t="s">
        <v>222</v>
      </c>
    </row>
    <row r="29" spans="1:7" x14ac:dyDescent="0.25">
      <c r="A29" s="61" t="s">
        <v>221</v>
      </c>
      <c r="B29" s="61" t="str">
        <f>[1]!GetFolder(A29)</f>
        <v>C:\Documents and Settings\DAG\My Documents\Visual Studio 2010\Projects\WizardWrx_Libs\SharedUtl2\SharedUtl2</v>
      </c>
      <c r="C29" s="61" t="str">
        <f t="shared" si="0"/>
        <v>WizardWrx_Libs\SharedUtl2\SharedUtl2</v>
      </c>
      <c r="D29" s="73" t="str">
        <f>RIGHT(C29,LEN(C29)-[1]!FindFromRightEnd("\",C29))</f>
        <v>SharedUtl2</v>
      </c>
      <c r="E29" s="73" t="str">
        <f>[1]!GetFile(A29)</f>
        <v>BitMask32.cs</v>
      </c>
      <c r="F29" s="73">
        <v>300</v>
      </c>
      <c r="G29" s="74" t="s">
        <v>223</v>
      </c>
    </row>
    <row r="30" spans="1:7" x14ac:dyDescent="0.25">
      <c r="A30" s="61" t="s">
        <v>221</v>
      </c>
      <c r="B30" s="61" t="str">
        <f>[1]!GetFolder(A30)</f>
        <v>C:\Documents and Settings\DAG\My Documents\Visual Studio 2010\Projects\WizardWrx_Libs\SharedUtl2\SharedUtl2</v>
      </c>
      <c r="C30" s="61" t="str">
        <f t="shared" si="0"/>
        <v>WizardWrx_Libs\SharedUtl2\SharedUtl2</v>
      </c>
      <c r="D30" s="73" t="str">
        <f>RIGHT(C30,LEN(C30)-[1]!FindFromRightEnd("\",C30))</f>
        <v>SharedUtl2</v>
      </c>
      <c r="E30" s="73" t="str">
        <f>[1]!GetFile(A30)</f>
        <v>BitMask32.cs</v>
      </c>
      <c r="F30" s="73">
        <v>341</v>
      </c>
      <c r="G30" s="74" t="s">
        <v>224</v>
      </c>
    </row>
    <row r="31" spans="1:7" x14ac:dyDescent="0.25">
      <c r="A31" s="61" t="s">
        <v>221</v>
      </c>
      <c r="B31" s="61" t="str">
        <f>[1]!GetFolder(A31)</f>
        <v>C:\Documents and Settings\DAG\My Documents\Visual Studio 2010\Projects\WizardWrx_Libs\SharedUtl2\SharedUtl2</v>
      </c>
      <c r="C31" s="61" t="str">
        <f t="shared" si="0"/>
        <v>WizardWrx_Libs\SharedUtl2\SharedUtl2</v>
      </c>
      <c r="D31" s="73" t="str">
        <f>RIGHT(C31,LEN(C31)-[1]!FindFromRightEnd("\",C31))</f>
        <v>SharedUtl2</v>
      </c>
      <c r="E31" s="73" t="str">
        <f>[1]!GetFile(A31)</f>
        <v>BitMask32.cs</v>
      </c>
      <c r="F31" s="73">
        <v>348</v>
      </c>
      <c r="G31" s="74" t="s">
        <v>225</v>
      </c>
    </row>
    <row r="32" spans="1:7" x14ac:dyDescent="0.25">
      <c r="A32" s="61" t="s">
        <v>221</v>
      </c>
      <c r="B32" s="61" t="str">
        <f>[1]!GetFolder(A32)</f>
        <v>C:\Documents and Settings\DAG\My Documents\Visual Studio 2010\Projects\WizardWrx_Libs\SharedUtl2\SharedUtl2</v>
      </c>
      <c r="C32" s="61" t="str">
        <f t="shared" si="0"/>
        <v>WizardWrx_Libs\SharedUtl2\SharedUtl2</v>
      </c>
      <c r="D32" s="73" t="str">
        <f>RIGHT(C32,LEN(C32)-[1]!FindFromRightEnd("\",C32))</f>
        <v>SharedUtl2</v>
      </c>
      <c r="E32" s="73" t="str">
        <f>[1]!GetFile(A32)</f>
        <v>BitMask32.cs</v>
      </c>
      <c r="F32" s="73">
        <v>355</v>
      </c>
      <c r="G32" s="74" t="s">
        <v>226</v>
      </c>
    </row>
    <row r="33" spans="1:7" x14ac:dyDescent="0.25">
      <c r="A33" s="61" t="s">
        <v>221</v>
      </c>
      <c r="B33" s="61" t="str">
        <f>[1]!GetFolder(A33)</f>
        <v>C:\Documents and Settings\DAG\My Documents\Visual Studio 2010\Projects\WizardWrx_Libs\SharedUtl2\SharedUtl2</v>
      </c>
      <c r="C33" s="61" t="str">
        <f t="shared" si="0"/>
        <v>WizardWrx_Libs\SharedUtl2\SharedUtl2</v>
      </c>
      <c r="D33" s="73" t="str">
        <f>RIGHT(C33,LEN(C33)-[1]!FindFromRightEnd("\",C33))</f>
        <v>SharedUtl2</v>
      </c>
      <c r="E33" s="73" t="str">
        <f>[1]!GetFile(A33)</f>
        <v>BitMask32.cs</v>
      </c>
      <c r="F33" s="73">
        <v>372</v>
      </c>
      <c r="G33" s="74" t="s">
        <v>224</v>
      </c>
    </row>
    <row r="34" spans="1:7" x14ac:dyDescent="0.25">
      <c r="A34" s="61" t="s">
        <v>221</v>
      </c>
      <c r="B34" s="61" t="str">
        <f>[1]!GetFolder(A34)</f>
        <v>C:\Documents and Settings\DAG\My Documents\Visual Studio 2010\Projects\WizardWrx_Libs\SharedUtl2\SharedUtl2</v>
      </c>
      <c r="C34" s="61" t="str">
        <f t="shared" si="0"/>
        <v>WizardWrx_Libs\SharedUtl2\SharedUtl2</v>
      </c>
      <c r="D34" s="73" t="str">
        <f>RIGHT(C34,LEN(C34)-[1]!FindFromRightEnd("\",C34))</f>
        <v>SharedUtl2</v>
      </c>
      <c r="E34" s="73" t="str">
        <f>[1]!GetFile(A34)</f>
        <v>BitMask32.cs</v>
      </c>
      <c r="F34" s="73">
        <v>414</v>
      </c>
      <c r="G34" s="74" t="s">
        <v>227</v>
      </c>
    </row>
    <row r="35" spans="1:7" x14ac:dyDescent="0.25">
      <c r="A35" s="61" t="s">
        <v>221</v>
      </c>
      <c r="B35" s="61" t="str">
        <f>[1]!GetFolder(A35)</f>
        <v>C:\Documents and Settings\DAG\My Documents\Visual Studio 2010\Projects\WizardWrx_Libs\SharedUtl2\SharedUtl2</v>
      </c>
      <c r="C35" s="61" t="str">
        <f t="shared" si="0"/>
        <v>WizardWrx_Libs\SharedUtl2\SharedUtl2</v>
      </c>
      <c r="D35" s="73" t="str">
        <f>RIGHT(C35,LEN(C35)-[1]!FindFromRightEnd("\",C35))</f>
        <v>SharedUtl2</v>
      </c>
      <c r="E35" s="73" t="str">
        <f>[1]!GetFile(A35)</f>
        <v>BitMask32.cs</v>
      </c>
      <c r="F35" s="73">
        <v>428</v>
      </c>
      <c r="G35" s="74" t="s">
        <v>228</v>
      </c>
    </row>
    <row r="36" spans="1:7" x14ac:dyDescent="0.25">
      <c r="A36" s="61" t="s">
        <v>221</v>
      </c>
      <c r="B36" s="61" t="str">
        <f>[1]!GetFolder(A36)</f>
        <v>C:\Documents and Settings\DAG\My Documents\Visual Studio 2010\Projects\WizardWrx_Libs\SharedUtl2\SharedUtl2</v>
      </c>
      <c r="C36" s="61" t="str">
        <f t="shared" si="0"/>
        <v>WizardWrx_Libs\SharedUtl2\SharedUtl2</v>
      </c>
      <c r="D36" s="73" t="str">
        <f>RIGHT(C36,LEN(C36)-[1]!FindFromRightEnd("\",C36))</f>
        <v>SharedUtl2</v>
      </c>
      <c r="E36" s="73" t="str">
        <f>[1]!GetFile(A36)</f>
        <v>BitMask32.cs</v>
      </c>
      <c r="F36" s="73">
        <v>442</v>
      </c>
      <c r="G36" s="74" t="s">
        <v>229</v>
      </c>
    </row>
    <row r="37" spans="1:7" x14ac:dyDescent="0.25">
      <c r="A37" s="61" t="s">
        <v>230</v>
      </c>
      <c r="B37" s="61" t="str">
        <f>[1]!GetFolder(A37)</f>
        <v>C:\Documents and Settings\DAG\My Documents\Visual Studio 2010\Projects\WizardWrx_Libs\SharedUtl2\SharedUtl2_Test_Harness\SharedUtl2_Test_Harness</v>
      </c>
      <c r="C37" s="61" t="str">
        <f t="shared" si="0"/>
        <v>WizardWrx_Libs\SharedUtl2\SharedUtl2_Test_Harness\SharedUtl2_Test_Harness</v>
      </c>
      <c r="D37" s="73" t="str">
        <f>RIGHT(C37,LEN(C37)-[1]!FindFromRightEnd("\",C37))</f>
        <v>SharedUtl2_Test_Harness</v>
      </c>
      <c r="E37" s="73" t="str">
        <f>[1]!GetFile(A37)</f>
        <v>Bitmask32TestHarness.cs</v>
      </c>
      <c r="F37" s="73">
        <v>111</v>
      </c>
      <c r="G37" s="74" t="s">
        <v>231</v>
      </c>
    </row>
    <row r="38" spans="1:7" x14ac:dyDescent="0.25">
      <c r="A38" s="61" t="s">
        <v>230</v>
      </c>
      <c r="B38" s="61" t="str">
        <f>[1]!GetFolder(A38)</f>
        <v>C:\Documents and Settings\DAG\My Documents\Visual Studio 2010\Projects\WizardWrx_Libs\SharedUtl2\SharedUtl2_Test_Harness\SharedUtl2_Test_Harness</v>
      </c>
      <c r="C38" s="61" t="str">
        <f t="shared" si="0"/>
        <v>WizardWrx_Libs\SharedUtl2\SharedUtl2_Test_Harness\SharedUtl2_Test_Harness</v>
      </c>
      <c r="D38" s="73" t="str">
        <f>RIGHT(C38,LEN(C38)-[1]!FindFromRightEnd("\",C38))</f>
        <v>SharedUtl2_Test_Harness</v>
      </c>
      <c r="E38" s="73" t="str">
        <f>[1]!GetFile(A38)</f>
        <v>Bitmask32TestHarness.cs</v>
      </c>
      <c r="F38" s="73">
        <v>124</v>
      </c>
      <c r="G38" s="74" t="s">
        <v>232</v>
      </c>
    </row>
    <row r="39" spans="1:7" x14ac:dyDescent="0.25">
      <c r="A39" s="61" t="s">
        <v>230</v>
      </c>
      <c r="B39" s="61" t="str">
        <f>[1]!GetFolder(A39)</f>
        <v>C:\Documents and Settings\DAG\My Documents\Visual Studio 2010\Projects\WizardWrx_Libs\SharedUtl2\SharedUtl2_Test_Harness\SharedUtl2_Test_Harness</v>
      </c>
      <c r="C39" s="61" t="str">
        <f t="shared" si="0"/>
        <v>WizardWrx_Libs\SharedUtl2\SharedUtl2_Test_Harness\SharedUtl2_Test_Harness</v>
      </c>
      <c r="D39" s="73" t="str">
        <f>RIGHT(C39,LEN(C39)-[1]!FindFromRightEnd("\",C39))</f>
        <v>SharedUtl2_Test_Harness</v>
      </c>
      <c r="E39" s="73" t="str">
        <f>[1]!GetFile(A39)</f>
        <v>Bitmask32TestHarness.cs</v>
      </c>
      <c r="F39" s="73">
        <v>129</v>
      </c>
      <c r="G39" s="74" t="s">
        <v>233</v>
      </c>
    </row>
    <row r="40" spans="1:7" x14ac:dyDescent="0.25">
      <c r="A40" s="61" t="s">
        <v>234</v>
      </c>
      <c r="B40" s="61" t="str">
        <f>[1]!GetFolder(A40)</f>
        <v>C:\Documents and Settings\DAG\My Documents\Visual Studio 2010\Projects\WizardWrx_Libs\SharedUtl3\SharedUtl3</v>
      </c>
      <c r="C40" s="61" t="str">
        <f t="shared" ref="C40:C71" si="1">IF(LEN(B40)&gt;LEN(Visual_Studio_Project_Source_Code_Root),RIGHT(B40,LEN(B40)-LEN(Visual_Studio_Project_Source_Code_Root)),"")</f>
        <v>WizardWrx_Libs\SharedUtl3\SharedUtl3</v>
      </c>
      <c r="D40" s="73" t="str">
        <f>RIGHT(C40,LEN(C40)-[1]!FindFromRightEnd("\",C40))</f>
        <v>SharedUtl3</v>
      </c>
      <c r="E40" s="73" t="str">
        <f>[1]!GetFile(A40)</f>
        <v>BitMask32.cs</v>
      </c>
      <c r="F40" s="73">
        <v>254</v>
      </c>
      <c r="G40" s="74" t="s">
        <v>222</v>
      </c>
    </row>
    <row r="41" spans="1:7" x14ac:dyDescent="0.25">
      <c r="A41" s="61" t="s">
        <v>234</v>
      </c>
      <c r="B41" s="61" t="str">
        <f>[1]!GetFolder(A41)</f>
        <v>C:\Documents and Settings\DAG\My Documents\Visual Studio 2010\Projects\WizardWrx_Libs\SharedUtl3\SharedUtl3</v>
      </c>
      <c r="C41" s="61" t="str">
        <f t="shared" si="1"/>
        <v>WizardWrx_Libs\SharedUtl3\SharedUtl3</v>
      </c>
      <c r="D41" s="73" t="str">
        <f>RIGHT(C41,LEN(C41)-[1]!FindFromRightEnd("\",C41))</f>
        <v>SharedUtl3</v>
      </c>
      <c r="E41" s="73" t="str">
        <f>[1]!GetFile(A41)</f>
        <v>BitMask32.cs</v>
      </c>
      <c r="F41" s="73">
        <v>258</v>
      </c>
      <c r="G41" s="74" t="s">
        <v>223</v>
      </c>
    </row>
    <row r="42" spans="1:7" x14ac:dyDescent="0.25">
      <c r="A42" s="61" t="s">
        <v>234</v>
      </c>
      <c r="B42" s="61" t="str">
        <f>[1]!GetFolder(A42)</f>
        <v>C:\Documents and Settings\DAG\My Documents\Visual Studio 2010\Projects\WizardWrx_Libs\SharedUtl3\SharedUtl3</v>
      </c>
      <c r="C42" s="61" t="str">
        <f t="shared" si="1"/>
        <v>WizardWrx_Libs\SharedUtl3\SharedUtl3</v>
      </c>
      <c r="D42" s="73" t="str">
        <f>RIGHT(C42,LEN(C42)-[1]!FindFromRightEnd("\",C42))</f>
        <v>SharedUtl3</v>
      </c>
      <c r="E42" s="73" t="str">
        <f>[1]!GetFile(A42)</f>
        <v>BitMask32.cs</v>
      </c>
      <c r="F42" s="73">
        <v>286</v>
      </c>
      <c r="G42" s="74" t="s">
        <v>225</v>
      </c>
    </row>
    <row r="43" spans="1:7" x14ac:dyDescent="0.25">
      <c r="A43" s="61" t="s">
        <v>234</v>
      </c>
      <c r="B43" s="61" t="str">
        <f>[1]!GetFolder(A43)</f>
        <v>C:\Documents and Settings\DAG\My Documents\Visual Studio 2010\Projects\WizardWrx_Libs\SharedUtl3\SharedUtl3</v>
      </c>
      <c r="C43" s="61" t="str">
        <f t="shared" si="1"/>
        <v>WizardWrx_Libs\SharedUtl3\SharedUtl3</v>
      </c>
      <c r="D43" s="73" t="str">
        <f>RIGHT(C43,LEN(C43)-[1]!FindFromRightEnd("\",C43))</f>
        <v>SharedUtl3</v>
      </c>
      <c r="E43" s="73" t="str">
        <f>[1]!GetFile(A43)</f>
        <v>BitMask32.cs</v>
      </c>
      <c r="F43" s="73">
        <v>293</v>
      </c>
      <c r="G43" s="74" t="s">
        <v>226</v>
      </c>
    </row>
    <row r="44" spans="1:7" x14ac:dyDescent="0.25">
      <c r="A44" s="61" t="s">
        <v>234</v>
      </c>
      <c r="B44" s="61" t="str">
        <f>[1]!GetFolder(A44)</f>
        <v>C:\Documents and Settings\DAG\My Documents\Visual Studio 2010\Projects\WizardWrx_Libs\SharedUtl3\SharedUtl3</v>
      </c>
      <c r="C44" s="61" t="str">
        <f t="shared" si="1"/>
        <v>WizardWrx_Libs\SharedUtl3\SharedUtl3</v>
      </c>
      <c r="D44" s="73" t="str">
        <f>RIGHT(C44,LEN(C44)-[1]!FindFromRightEnd("\",C44))</f>
        <v>SharedUtl3</v>
      </c>
      <c r="E44" s="73" t="str">
        <f>[1]!GetFile(A44)</f>
        <v>BitMask32.cs</v>
      </c>
      <c r="F44" s="73">
        <v>341</v>
      </c>
      <c r="G44" s="74" t="s">
        <v>227</v>
      </c>
    </row>
    <row r="45" spans="1:7" x14ac:dyDescent="0.25">
      <c r="A45" s="61" t="s">
        <v>234</v>
      </c>
      <c r="B45" s="61" t="str">
        <f>[1]!GetFolder(A45)</f>
        <v>C:\Documents and Settings\DAG\My Documents\Visual Studio 2010\Projects\WizardWrx_Libs\SharedUtl3\SharedUtl3</v>
      </c>
      <c r="C45" s="61" t="str">
        <f t="shared" si="1"/>
        <v>WizardWrx_Libs\SharedUtl3\SharedUtl3</v>
      </c>
      <c r="D45" s="73" t="str">
        <f>RIGHT(C45,LEN(C45)-[1]!FindFromRightEnd("\",C45))</f>
        <v>SharedUtl3</v>
      </c>
      <c r="E45" s="73" t="str">
        <f>[1]!GetFile(A45)</f>
        <v>BitMask32.cs</v>
      </c>
      <c r="F45" s="73">
        <v>355</v>
      </c>
      <c r="G45" s="74" t="s">
        <v>228</v>
      </c>
    </row>
    <row r="46" spans="1:7" x14ac:dyDescent="0.25">
      <c r="A46" s="61" t="s">
        <v>234</v>
      </c>
      <c r="B46" s="61" t="str">
        <f>[1]!GetFolder(A46)</f>
        <v>C:\Documents and Settings\DAG\My Documents\Visual Studio 2010\Projects\WizardWrx_Libs\SharedUtl3\SharedUtl3</v>
      </c>
      <c r="C46" s="61" t="str">
        <f t="shared" si="1"/>
        <v>WizardWrx_Libs\SharedUtl3\SharedUtl3</v>
      </c>
      <c r="D46" s="73" t="str">
        <f>RIGHT(C46,LEN(C46)-[1]!FindFromRightEnd("\",C46))</f>
        <v>SharedUtl3</v>
      </c>
      <c r="E46" s="73" t="str">
        <f>[1]!GetFile(A46)</f>
        <v>BitMask32.cs</v>
      </c>
      <c r="F46" s="73">
        <v>369</v>
      </c>
      <c r="G46" s="74" t="s">
        <v>229</v>
      </c>
    </row>
    <row r="47" spans="1:7" x14ac:dyDescent="0.25">
      <c r="A47" s="61" t="s">
        <v>235</v>
      </c>
      <c r="B47" s="61" t="str">
        <f>[1]!GetFolder(A47)</f>
        <v>C:\Documents and Settings\DAG\My Documents\Visual Studio 2010\Projects\WizardWrx_Libs\SharedUtl3\SharedUtl3_TestHarness\SharedUtl3_TestHarness</v>
      </c>
      <c r="C47" s="61" t="str">
        <f t="shared" si="1"/>
        <v>WizardWrx_Libs\SharedUtl3\SharedUtl3_TestHarness\SharedUtl3_TestHarness</v>
      </c>
      <c r="D47" s="73" t="str">
        <f>RIGHT(C47,LEN(C47)-[1]!FindFromRightEnd("\",C47))</f>
        <v>SharedUtl3_TestHarness</v>
      </c>
      <c r="E47" s="73" t="str">
        <f>[1]!GetFile(A47)</f>
        <v>Bitmask32TestHarness.cs</v>
      </c>
      <c r="F47" s="73">
        <v>103</v>
      </c>
      <c r="G47" s="74" t="s">
        <v>213</v>
      </c>
    </row>
    <row r="48" spans="1:7" x14ac:dyDescent="0.25">
      <c r="A48" s="61" t="s">
        <v>235</v>
      </c>
      <c r="B48" s="61" t="str">
        <f>[1]!GetFolder(A48)</f>
        <v>C:\Documents and Settings\DAG\My Documents\Visual Studio 2010\Projects\WizardWrx_Libs\SharedUtl3\SharedUtl3_TestHarness\SharedUtl3_TestHarness</v>
      </c>
      <c r="C48" s="61" t="str">
        <f t="shared" si="1"/>
        <v>WizardWrx_Libs\SharedUtl3\SharedUtl3_TestHarness\SharedUtl3_TestHarness</v>
      </c>
      <c r="D48" s="73" t="str">
        <f>RIGHT(C48,LEN(C48)-[1]!FindFromRightEnd("\",C48))</f>
        <v>SharedUtl3_TestHarness</v>
      </c>
      <c r="E48" s="73" t="str">
        <f>[1]!GetFile(A48)</f>
        <v>Bitmask32TestHarness.cs</v>
      </c>
      <c r="F48" s="73">
        <v>116</v>
      </c>
      <c r="G48" s="74" t="s">
        <v>214</v>
      </c>
    </row>
    <row r="49" spans="1:7" x14ac:dyDescent="0.25">
      <c r="A49" s="61" t="s">
        <v>235</v>
      </c>
      <c r="B49" s="61" t="str">
        <f>[1]!GetFolder(A49)</f>
        <v>C:\Documents and Settings\DAG\My Documents\Visual Studio 2010\Projects\WizardWrx_Libs\SharedUtl3\SharedUtl3_TestHarness\SharedUtl3_TestHarness</v>
      </c>
      <c r="C49" s="61" t="str">
        <f t="shared" si="1"/>
        <v>WizardWrx_Libs\SharedUtl3\SharedUtl3_TestHarness\SharedUtl3_TestHarness</v>
      </c>
      <c r="D49" s="73" t="str">
        <f>RIGHT(C49,LEN(C49)-[1]!FindFromRightEnd("\",C49))</f>
        <v>SharedUtl3_TestHarness</v>
      </c>
      <c r="E49" s="73" t="str">
        <f>[1]!GetFile(A49)</f>
        <v>Bitmask32TestHarness.cs</v>
      </c>
      <c r="F49" s="73">
        <v>121</v>
      </c>
      <c r="G49" s="74" t="s">
        <v>215</v>
      </c>
    </row>
    <row r="50" spans="1:7" x14ac:dyDescent="0.25">
      <c r="A50" s="61" t="s">
        <v>236</v>
      </c>
      <c r="B50" s="61" t="str">
        <f>[1]!GetFolder(A50)</f>
        <v>C:\Documents and Settings\DAG\My Documents\Visual Studio 2010\Projects\_Laboratory\MyPlayPen\MyPlayPen</v>
      </c>
      <c r="C50" s="61" t="str">
        <f t="shared" si="1"/>
        <v>_Laboratory\MyPlayPen\MyPlayPen</v>
      </c>
      <c r="D50" s="73" t="str">
        <f>RIGHT(C50,LEN(C50)-[1]!FindFromRightEnd("\",C50))</f>
        <v>MyPlayPen</v>
      </c>
      <c r="E50" s="73" t="str">
        <f>[1]!GetFile(A50)</f>
        <v>BitMask32.cs</v>
      </c>
      <c r="F50" s="73">
        <v>223</v>
      </c>
      <c r="G50" s="74" t="s">
        <v>237</v>
      </c>
    </row>
    <row r="51" spans="1:7" x14ac:dyDescent="0.25">
      <c r="A51" s="61" t="s">
        <v>236</v>
      </c>
      <c r="B51" s="61" t="str">
        <f>[1]!GetFolder(A51)</f>
        <v>C:\Documents and Settings\DAG\My Documents\Visual Studio 2010\Projects\_Laboratory\MyPlayPen\MyPlayPen</v>
      </c>
      <c r="C51" s="61" t="str">
        <f t="shared" si="1"/>
        <v>_Laboratory\MyPlayPen\MyPlayPen</v>
      </c>
      <c r="D51" s="73" t="str">
        <f>RIGHT(C51,LEN(C51)-[1]!FindFromRightEnd("\",C51))</f>
        <v>MyPlayPen</v>
      </c>
      <c r="E51" s="73" t="str">
        <f>[1]!GetFile(A51)</f>
        <v>BitMask32.cs</v>
      </c>
      <c r="F51" s="73">
        <v>227</v>
      </c>
      <c r="G51" s="74" t="s">
        <v>238</v>
      </c>
    </row>
    <row r="52" spans="1:7" x14ac:dyDescent="0.25">
      <c r="A52" s="61" t="s">
        <v>236</v>
      </c>
      <c r="B52" s="61" t="str">
        <f>[1]!GetFolder(A52)</f>
        <v>C:\Documents and Settings\DAG\My Documents\Visual Studio 2010\Projects\_Laboratory\MyPlayPen\MyPlayPen</v>
      </c>
      <c r="C52" s="61" t="str">
        <f t="shared" si="1"/>
        <v>_Laboratory\MyPlayPen\MyPlayPen</v>
      </c>
      <c r="D52" s="73" t="str">
        <f>RIGHT(C52,LEN(C52)-[1]!FindFromRightEnd("\",C52))</f>
        <v>MyPlayPen</v>
      </c>
      <c r="E52" s="73" t="str">
        <f>[1]!GetFile(A52)</f>
        <v>BitMask32.cs</v>
      </c>
      <c r="F52" s="73">
        <v>255</v>
      </c>
      <c r="G52" s="74" t="s">
        <v>239</v>
      </c>
    </row>
    <row r="53" spans="1:7" x14ac:dyDescent="0.25">
      <c r="A53" s="61" t="s">
        <v>236</v>
      </c>
      <c r="B53" s="61" t="str">
        <f>[1]!GetFolder(A53)</f>
        <v>C:\Documents and Settings\DAG\My Documents\Visual Studio 2010\Projects\_Laboratory\MyPlayPen\MyPlayPen</v>
      </c>
      <c r="C53" s="61" t="str">
        <f t="shared" si="1"/>
        <v>_Laboratory\MyPlayPen\MyPlayPen</v>
      </c>
      <c r="D53" s="73" t="str">
        <f>RIGHT(C53,LEN(C53)-[1]!FindFromRightEnd("\",C53))</f>
        <v>MyPlayPen</v>
      </c>
      <c r="E53" s="73" t="str">
        <f>[1]!GetFile(A53)</f>
        <v>BitMask32.cs</v>
      </c>
      <c r="F53" s="73">
        <v>262</v>
      </c>
      <c r="G53" s="74" t="s">
        <v>240</v>
      </c>
    </row>
    <row r="54" spans="1:7" x14ac:dyDescent="0.25">
      <c r="A54" s="61" t="s">
        <v>236</v>
      </c>
      <c r="B54" s="61" t="str">
        <f>[1]!GetFolder(A54)</f>
        <v>C:\Documents and Settings\DAG\My Documents\Visual Studio 2010\Projects\_Laboratory\MyPlayPen\MyPlayPen</v>
      </c>
      <c r="C54" s="61" t="str">
        <f t="shared" si="1"/>
        <v>_Laboratory\MyPlayPen\MyPlayPen</v>
      </c>
      <c r="D54" s="73" t="str">
        <f>RIGHT(C54,LEN(C54)-[1]!FindFromRightEnd("\",C54))</f>
        <v>MyPlayPen</v>
      </c>
      <c r="E54" s="73" t="str">
        <f>[1]!GetFile(A54)</f>
        <v>BitMask32.cs</v>
      </c>
      <c r="F54" s="73">
        <v>310</v>
      </c>
      <c r="G54" s="74" t="s">
        <v>241</v>
      </c>
    </row>
    <row r="55" spans="1:7" x14ac:dyDescent="0.25">
      <c r="A55" s="61" t="s">
        <v>236</v>
      </c>
      <c r="B55" s="61" t="str">
        <f>[1]!GetFolder(A55)</f>
        <v>C:\Documents and Settings\DAG\My Documents\Visual Studio 2010\Projects\_Laboratory\MyPlayPen\MyPlayPen</v>
      </c>
      <c r="C55" s="61" t="str">
        <f t="shared" si="1"/>
        <v>_Laboratory\MyPlayPen\MyPlayPen</v>
      </c>
      <c r="D55" s="73" t="str">
        <f>RIGHT(C55,LEN(C55)-[1]!FindFromRightEnd("\",C55))</f>
        <v>MyPlayPen</v>
      </c>
      <c r="E55" s="73" t="str">
        <f>[1]!GetFile(A55)</f>
        <v>BitMask32.cs</v>
      </c>
      <c r="F55" s="73">
        <v>324</v>
      </c>
      <c r="G55" s="74" t="s">
        <v>242</v>
      </c>
    </row>
    <row r="56" spans="1:7" x14ac:dyDescent="0.25">
      <c r="A56" s="61" t="s">
        <v>236</v>
      </c>
      <c r="B56" s="61" t="str">
        <f>[1]!GetFolder(A56)</f>
        <v>C:\Documents and Settings\DAG\My Documents\Visual Studio 2010\Projects\_Laboratory\MyPlayPen\MyPlayPen</v>
      </c>
      <c r="C56" s="61" t="str">
        <f t="shared" si="1"/>
        <v>_Laboratory\MyPlayPen\MyPlayPen</v>
      </c>
      <c r="D56" s="73" t="str">
        <f>RIGHT(C56,LEN(C56)-[1]!FindFromRightEnd("\",C56))</f>
        <v>MyPlayPen</v>
      </c>
      <c r="E56" s="73" t="str">
        <f>[1]!GetFile(A56)</f>
        <v>BitMask32.cs</v>
      </c>
      <c r="F56" s="73">
        <v>338</v>
      </c>
      <c r="G56" s="74" t="s">
        <v>243</v>
      </c>
    </row>
    <row r="57" spans="1:7" x14ac:dyDescent="0.25">
      <c r="A57" s="61" t="s">
        <v>244</v>
      </c>
      <c r="B57" s="61" t="str">
        <f>[1]!GetFolder(A57)</f>
        <v>C:\Documents and Settings\DAG\My Documents\Visual Studio 2010\Projects\_Laboratory\MyPlayPen\MyPlayPen</v>
      </c>
      <c r="C57" s="61" t="str">
        <f t="shared" si="1"/>
        <v>_Laboratory\MyPlayPen\MyPlayPen</v>
      </c>
      <c r="D57" s="73" t="str">
        <f>RIGHT(C57,LEN(C57)-[1]!FindFromRightEnd("\",C57))</f>
        <v>MyPlayPen</v>
      </c>
      <c r="E57" s="73" t="str">
        <f>[1]!GetFile(A57)</f>
        <v>Bitmask32TestHarness.cs</v>
      </c>
      <c r="F57" s="73">
        <v>80</v>
      </c>
      <c r="G57" s="74" t="s">
        <v>245</v>
      </c>
    </row>
    <row r="58" spans="1:7" x14ac:dyDescent="0.25">
      <c r="A58" s="61" t="s">
        <v>244</v>
      </c>
      <c r="B58" s="61" t="str">
        <f>[1]!GetFolder(A58)</f>
        <v>C:\Documents and Settings\DAG\My Documents\Visual Studio 2010\Projects\_Laboratory\MyPlayPen\MyPlayPen</v>
      </c>
      <c r="C58" s="61" t="str">
        <f t="shared" si="1"/>
        <v>_Laboratory\MyPlayPen\MyPlayPen</v>
      </c>
      <c r="D58" s="73" t="str">
        <f>RIGHT(C58,LEN(C58)-[1]!FindFromRightEnd("\",C58))</f>
        <v>MyPlayPen</v>
      </c>
      <c r="E58" s="73" t="str">
        <f>[1]!GetFile(A58)</f>
        <v>Bitmask32TestHarness.cs</v>
      </c>
      <c r="F58" s="73">
        <v>93</v>
      </c>
      <c r="G58" s="74" t="s">
        <v>246</v>
      </c>
    </row>
    <row r="59" spans="1:7" x14ac:dyDescent="0.25">
      <c r="A59" s="61" t="s">
        <v>244</v>
      </c>
      <c r="B59" s="61" t="str">
        <f>[1]!GetFolder(A59)</f>
        <v>C:\Documents and Settings\DAG\My Documents\Visual Studio 2010\Projects\_Laboratory\MyPlayPen\MyPlayPen</v>
      </c>
      <c r="C59" s="61" t="str">
        <f t="shared" si="1"/>
        <v>_Laboratory\MyPlayPen\MyPlayPen</v>
      </c>
      <c r="D59" s="73" t="str">
        <f>RIGHT(C59,LEN(C59)-[1]!FindFromRightEnd("\",C59))</f>
        <v>MyPlayPen</v>
      </c>
      <c r="E59" s="73" t="str">
        <f>[1]!GetFile(A59)</f>
        <v>Bitmask32TestHarness.cs</v>
      </c>
      <c r="F59" s="73">
        <v>98</v>
      </c>
      <c r="G59" s="74" t="s">
        <v>247</v>
      </c>
    </row>
    <row r="60" spans="1:7" x14ac:dyDescent="0.25">
      <c r="A60" s="61" t="s">
        <v>248</v>
      </c>
      <c r="B60" s="61" t="str">
        <f>[1]!GetFolder(A60)</f>
        <v>C:\Documents and Settings\DAG\My Documents\Visual Studio 2010\Projects\_Laboratory\MyPlayPen\MyPlayPen</v>
      </c>
      <c r="C60" s="61" t="str">
        <f t="shared" si="1"/>
        <v>_Laboratory\MyPlayPen\MyPlayPen</v>
      </c>
      <c r="D60" s="73" t="str">
        <f>RIGHT(C60,LEN(C60)-[1]!FindFromRightEnd("\",C60))</f>
        <v>MyPlayPen</v>
      </c>
      <c r="E60" s="73" t="str">
        <f>[1]!GetFile(A60)</f>
        <v>Program.cs</v>
      </c>
      <c r="F60" s="73">
        <v>528</v>
      </c>
      <c r="G60" s="74" t="s">
        <v>220</v>
      </c>
    </row>
    <row r="61" spans="1:7" x14ac:dyDescent="0.25">
      <c r="A61" s="61" t="s">
        <v>249</v>
      </c>
      <c r="B61" s="61" t="str">
        <f>[1]!GetFolder(A61)</f>
        <v>C:\Documents and Settings\DAG\My Documents\Visual Studio 2010\Projects\_TESTING WizardWrx Libs\SharedUtl2\SharedUtl2</v>
      </c>
      <c r="C61" s="61" t="str">
        <f t="shared" si="1"/>
        <v>_TESTING WizardWrx Libs\SharedUtl2\SharedUtl2</v>
      </c>
      <c r="D61" s="73" t="str">
        <f>RIGHT(C61,LEN(C61)-[1]!FindFromRightEnd("\",C61))</f>
        <v>SharedUtl2</v>
      </c>
      <c r="E61" s="73" t="str">
        <f>[1]!GetFile(A61)</f>
        <v>BitMask32.cs</v>
      </c>
      <c r="F61" s="73">
        <v>296</v>
      </c>
      <c r="G61" s="74" t="s">
        <v>250</v>
      </c>
    </row>
    <row r="62" spans="1:7" x14ac:dyDescent="0.25">
      <c r="A62" s="61" t="s">
        <v>249</v>
      </c>
      <c r="B62" s="61" t="str">
        <f>[1]!GetFolder(A62)</f>
        <v>C:\Documents and Settings\DAG\My Documents\Visual Studio 2010\Projects\_TESTING WizardWrx Libs\SharedUtl2\SharedUtl2</v>
      </c>
      <c r="C62" s="61" t="str">
        <f t="shared" si="1"/>
        <v>_TESTING WizardWrx Libs\SharedUtl2\SharedUtl2</v>
      </c>
      <c r="D62" s="73" t="str">
        <f>RIGHT(C62,LEN(C62)-[1]!FindFromRightEnd("\",C62))</f>
        <v>SharedUtl2</v>
      </c>
      <c r="E62" s="73" t="str">
        <f>[1]!GetFile(A62)</f>
        <v>BitMask32.cs</v>
      </c>
      <c r="F62" s="73">
        <v>300</v>
      </c>
      <c r="G62" s="74" t="s">
        <v>251</v>
      </c>
    </row>
    <row r="63" spans="1:7" x14ac:dyDescent="0.25">
      <c r="A63" s="61" t="s">
        <v>249</v>
      </c>
      <c r="B63" s="61" t="str">
        <f>[1]!GetFolder(A63)</f>
        <v>C:\Documents and Settings\DAG\My Documents\Visual Studio 2010\Projects\_TESTING WizardWrx Libs\SharedUtl2\SharedUtl2</v>
      </c>
      <c r="C63" s="61" t="str">
        <f t="shared" si="1"/>
        <v>_TESTING WizardWrx Libs\SharedUtl2\SharedUtl2</v>
      </c>
      <c r="D63" s="73" t="str">
        <f>RIGHT(C63,LEN(C63)-[1]!FindFromRightEnd("\",C63))</f>
        <v>SharedUtl2</v>
      </c>
      <c r="E63" s="73" t="str">
        <f>[1]!GetFile(A63)</f>
        <v>BitMask32.cs</v>
      </c>
      <c r="F63" s="73">
        <v>341</v>
      </c>
      <c r="G63" s="74" t="s">
        <v>252</v>
      </c>
    </row>
    <row r="64" spans="1:7" x14ac:dyDescent="0.25">
      <c r="A64" s="61" t="s">
        <v>249</v>
      </c>
      <c r="B64" s="61" t="str">
        <f>[1]!GetFolder(A64)</f>
        <v>C:\Documents and Settings\DAG\My Documents\Visual Studio 2010\Projects\_TESTING WizardWrx Libs\SharedUtl2\SharedUtl2</v>
      </c>
      <c r="C64" s="61" t="str">
        <f t="shared" si="1"/>
        <v>_TESTING WizardWrx Libs\SharedUtl2\SharedUtl2</v>
      </c>
      <c r="D64" s="73" t="str">
        <f>RIGHT(C64,LEN(C64)-[1]!FindFromRightEnd("\",C64))</f>
        <v>SharedUtl2</v>
      </c>
      <c r="E64" s="73" t="str">
        <f>[1]!GetFile(A64)</f>
        <v>BitMask32.cs</v>
      </c>
      <c r="F64" s="73">
        <v>348</v>
      </c>
      <c r="G64" s="74" t="s">
        <v>253</v>
      </c>
    </row>
    <row r="65" spans="1:7" x14ac:dyDescent="0.25">
      <c r="A65" s="61" t="s">
        <v>249</v>
      </c>
      <c r="B65" s="61" t="str">
        <f>[1]!GetFolder(A65)</f>
        <v>C:\Documents and Settings\DAG\My Documents\Visual Studio 2010\Projects\_TESTING WizardWrx Libs\SharedUtl2\SharedUtl2</v>
      </c>
      <c r="C65" s="61" t="str">
        <f t="shared" si="1"/>
        <v>_TESTING WizardWrx Libs\SharedUtl2\SharedUtl2</v>
      </c>
      <c r="D65" s="73" t="str">
        <f>RIGHT(C65,LEN(C65)-[1]!FindFromRightEnd("\",C65))</f>
        <v>SharedUtl2</v>
      </c>
      <c r="E65" s="73" t="str">
        <f>[1]!GetFile(A65)</f>
        <v>BitMask32.cs</v>
      </c>
      <c r="F65" s="73">
        <v>355</v>
      </c>
      <c r="G65" s="74" t="s">
        <v>254</v>
      </c>
    </row>
    <row r="66" spans="1:7" x14ac:dyDescent="0.25">
      <c r="A66" s="61" t="s">
        <v>249</v>
      </c>
      <c r="B66" s="61" t="str">
        <f>[1]!GetFolder(A66)</f>
        <v>C:\Documents and Settings\DAG\My Documents\Visual Studio 2010\Projects\_TESTING WizardWrx Libs\SharedUtl2\SharedUtl2</v>
      </c>
      <c r="C66" s="61" t="str">
        <f t="shared" si="1"/>
        <v>_TESTING WizardWrx Libs\SharedUtl2\SharedUtl2</v>
      </c>
      <c r="D66" s="73" t="str">
        <f>RIGHT(C66,LEN(C66)-[1]!FindFromRightEnd("\",C66))</f>
        <v>SharedUtl2</v>
      </c>
      <c r="E66" s="73" t="str">
        <f>[1]!GetFile(A66)</f>
        <v>BitMask32.cs</v>
      </c>
      <c r="F66" s="73">
        <v>372</v>
      </c>
      <c r="G66" s="74" t="s">
        <v>252</v>
      </c>
    </row>
    <row r="67" spans="1:7" x14ac:dyDescent="0.25">
      <c r="A67" s="61" t="s">
        <v>249</v>
      </c>
      <c r="B67" s="61" t="str">
        <f>[1]!GetFolder(A67)</f>
        <v>C:\Documents and Settings\DAG\My Documents\Visual Studio 2010\Projects\_TESTING WizardWrx Libs\SharedUtl2\SharedUtl2</v>
      </c>
      <c r="C67" s="61" t="str">
        <f t="shared" si="1"/>
        <v>_TESTING WizardWrx Libs\SharedUtl2\SharedUtl2</v>
      </c>
      <c r="D67" s="73" t="str">
        <f>RIGHT(C67,LEN(C67)-[1]!FindFromRightEnd("\",C67))</f>
        <v>SharedUtl2</v>
      </c>
      <c r="E67" s="73" t="str">
        <f>[1]!GetFile(A67)</f>
        <v>BitMask32.cs</v>
      </c>
      <c r="F67" s="73">
        <v>414</v>
      </c>
      <c r="G67" s="74" t="s">
        <v>255</v>
      </c>
    </row>
    <row r="68" spans="1:7" x14ac:dyDescent="0.25">
      <c r="A68" s="61" t="s">
        <v>249</v>
      </c>
      <c r="B68" s="61" t="str">
        <f>[1]!GetFolder(A68)</f>
        <v>C:\Documents and Settings\DAG\My Documents\Visual Studio 2010\Projects\_TESTING WizardWrx Libs\SharedUtl2\SharedUtl2</v>
      </c>
      <c r="C68" s="61" t="str">
        <f t="shared" si="1"/>
        <v>_TESTING WizardWrx Libs\SharedUtl2\SharedUtl2</v>
      </c>
      <c r="D68" s="73" t="str">
        <f>RIGHT(C68,LEN(C68)-[1]!FindFromRightEnd("\",C68))</f>
        <v>SharedUtl2</v>
      </c>
      <c r="E68" s="73" t="str">
        <f>[1]!GetFile(A68)</f>
        <v>BitMask32.cs</v>
      </c>
      <c r="F68" s="73">
        <v>428</v>
      </c>
      <c r="G68" s="74" t="s">
        <v>256</v>
      </c>
    </row>
    <row r="69" spans="1:7" x14ac:dyDescent="0.25">
      <c r="A69" s="61" t="s">
        <v>249</v>
      </c>
      <c r="B69" s="61" t="str">
        <f>[1]!GetFolder(A69)</f>
        <v>C:\Documents and Settings\DAG\My Documents\Visual Studio 2010\Projects\_TESTING WizardWrx Libs\SharedUtl2\SharedUtl2</v>
      </c>
      <c r="C69" s="61" t="str">
        <f t="shared" si="1"/>
        <v>_TESTING WizardWrx Libs\SharedUtl2\SharedUtl2</v>
      </c>
      <c r="D69" s="73" t="str">
        <f>RIGHT(C69,LEN(C69)-[1]!FindFromRightEnd("\",C69))</f>
        <v>SharedUtl2</v>
      </c>
      <c r="E69" s="73" t="str">
        <f>[1]!GetFile(A69)</f>
        <v>BitMask32.cs</v>
      </c>
      <c r="F69" s="73">
        <v>442</v>
      </c>
      <c r="G69" s="74" t="s">
        <v>257</v>
      </c>
    </row>
    <row r="70" spans="1:7" x14ac:dyDescent="0.25">
      <c r="A70" s="61" t="s">
        <v>258</v>
      </c>
      <c r="B70" s="61" t="str">
        <f>[1]!GetFolder(A70)</f>
        <v>C:\Documents and Settings\DAG\My Documents\Visual Studio 2010\Projects\_TESTING WizardWrx Libs\SharedUtl2\SharedUtl2_Test_Harness\SharedUtl2_Test_Harness</v>
      </c>
      <c r="C70" s="61" t="str">
        <f t="shared" si="1"/>
        <v>_TESTING WizardWrx Libs\SharedUtl2\SharedUtl2_Test_Harness\SharedUtl2_Test_Harness</v>
      </c>
      <c r="D70" s="73" t="str">
        <f>RIGHT(C70,LEN(C70)-[1]!FindFromRightEnd("\",C70))</f>
        <v>SharedUtl2_Test_Harness</v>
      </c>
      <c r="E70" s="73" t="str">
        <f>[1]!GetFile(A70)</f>
        <v>Bitmask32TestHarness.cs</v>
      </c>
      <c r="F70" s="73">
        <v>111</v>
      </c>
      <c r="G70" s="74" t="s">
        <v>245</v>
      </c>
    </row>
    <row r="71" spans="1:7" x14ac:dyDescent="0.25">
      <c r="A71" s="61" t="s">
        <v>258</v>
      </c>
      <c r="B71" s="61" t="str">
        <f>[1]!GetFolder(A71)</f>
        <v>C:\Documents and Settings\DAG\My Documents\Visual Studio 2010\Projects\_TESTING WizardWrx Libs\SharedUtl2\SharedUtl2_Test_Harness\SharedUtl2_Test_Harness</v>
      </c>
      <c r="C71" s="61" t="str">
        <f t="shared" si="1"/>
        <v>_TESTING WizardWrx Libs\SharedUtl2\SharedUtl2_Test_Harness\SharedUtl2_Test_Harness</v>
      </c>
      <c r="D71" s="73" t="str">
        <f>RIGHT(C71,LEN(C71)-[1]!FindFromRightEnd("\",C71))</f>
        <v>SharedUtl2_Test_Harness</v>
      </c>
      <c r="E71" s="73" t="str">
        <f>[1]!GetFile(A71)</f>
        <v>Bitmask32TestHarness.cs</v>
      </c>
      <c r="F71" s="73">
        <v>124</v>
      </c>
      <c r="G71" s="74" t="s">
        <v>246</v>
      </c>
    </row>
    <row r="72" spans="1:7" x14ac:dyDescent="0.25">
      <c r="A72" s="61" t="s">
        <v>258</v>
      </c>
      <c r="B72" s="61" t="str">
        <f>[1]!GetFolder(A72)</f>
        <v>C:\Documents and Settings\DAG\My Documents\Visual Studio 2010\Projects\_TESTING WizardWrx Libs\SharedUtl2\SharedUtl2_Test_Harness\SharedUtl2_Test_Harness</v>
      </c>
      <c r="C72" s="61" t="str">
        <f t="shared" ref="C72" si="2">IF(LEN(B72)&gt;LEN(Visual_Studio_Project_Source_Code_Root),RIGHT(B72,LEN(B72)-LEN(Visual_Studio_Project_Source_Code_Root)),"")</f>
        <v>_TESTING WizardWrx Libs\SharedUtl2\SharedUtl2_Test_Harness\SharedUtl2_Test_Harness</v>
      </c>
      <c r="D72" s="73" t="str">
        <f>RIGHT(C72,LEN(C72)-[1]!FindFromRightEnd("\",C72))</f>
        <v>SharedUtl2_Test_Harness</v>
      </c>
      <c r="E72" s="73" t="str">
        <f>[1]!GetFile(A72)</f>
        <v>Bitmask32TestHarness.cs</v>
      </c>
      <c r="F72" s="73">
        <v>129</v>
      </c>
      <c r="G72" s="74" t="s">
        <v>247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D10"/>
  <sheetViews>
    <sheetView workbookViewId="0">
      <selection activeCell="C6" sqref="C6"/>
    </sheetView>
  </sheetViews>
  <sheetFormatPr defaultRowHeight="15" x14ac:dyDescent="0.25"/>
  <cols>
    <col min="1" max="1" width="34.625" bestFit="1" customWidth="1"/>
    <col min="2" max="2" width="66.625" bestFit="1" customWidth="1"/>
    <col min="3" max="3" width="63.5" bestFit="1" customWidth="1"/>
    <col min="4" max="4" width="9.375" bestFit="1" customWidth="1"/>
  </cols>
  <sheetData>
    <row r="1" spans="1:4" ht="18" x14ac:dyDescent="0.25">
      <c r="A1" s="75" t="s">
        <v>13</v>
      </c>
      <c r="B1" s="75" t="s">
        <v>277</v>
      </c>
      <c r="C1" s="75" t="s">
        <v>278</v>
      </c>
      <c r="D1" s="75" t="s">
        <v>274</v>
      </c>
    </row>
    <row r="2" spans="1:4" x14ac:dyDescent="0.25">
      <c r="A2" s="76" t="s">
        <v>279</v>
      </c>
      <c r="B2" s="76" t="e">
        <f>Tens</f>
        <v>#REF!</v>
      </c>
      <c r="C2" s="77" t="s">
        <v>281</v>
      </c>
      <c r="D2" s="76" t="e">
        <f>IF(LEN(B2)&gt;0,LEN(B2),"")</f>
        <v>#REF!</v>
      </c>
    </row>
    <row r="3" spans="1:4" x14ac:dyDescent="0.25">
      <c r="A3" s="76" t="s">
        <v>280</v>
      </c>
      <c r="B3" s="76" t="e">
        <f>Units</f>
        <v>#REF!</v>
      </c>
      <c r="C3" s="77" t="s">
        <v>282</v>
      </c>
      <c r="D3" s="76" t="e">
        <f t="shared" ref="D3:D10" si="0">IF(LEN(B3)&gt;0,LEN(B3),"")</f>
        <v>#REF!</v>
      </c>
    </row>
    <row r="4" spans="1:4" x14ac:dyDescent="0.25">
      <c r="A4" s="76" t="s">
        <v>285</v>
      </c>
      <c r="B4" s="76" t="s">
        <v>283</v>
      </c>
      <c r="C4" s="76" t="s">
        <v>287</v>
      </c>
      <c r="D4" s="76">
        <f t="shared" si="0"/>
        <v>51</v>
      </c>
    </row>
    <row r="5" spans="1:4" x14ac:dyDescent="0.25">
      <c r="A5" s="76" t="s">
        <v>286</v>
      </c>
      <c r="B5" s="76" t="s">
        <v>284</v>
      </c>
      <c r="C5" s="76" t="s">
        <v>288</v>
      </c>
      <c r="D5" s="76">
        <f t="shared" si="0"/>
        <v>32</v>
      </c>
    </row>
    <row r="6" spans="1:4" x14ac:dyDescent="0.25">
      <c r="A6" s="76" t="s">
        <v>289</v>
      </c>
      <c r="B6" s="76" t="s">
        <v>290</v>
      </c>
      <c r="C6" s="76" t="s">
        <v>291</v>
      </c>
      <c r="D6" s="76">
        <f t="shared" si="0"/>
        <v>35</v>
      </c>
    </row>
    <row r="7" spans="1:4" x14ac:dyDescent="0.25">
      <c r="A7" s="76"/>
      <c r="B7" s="76"/>
      <c r="C7" s="76"/>
      <c r="D7" s="76" t="str">
        <f t="shared" si="0"/>
        <v/>
      </c>
    </row>
    <row r="8" spans="1:4" x14ac:dyDescent="0.25">
      <c r="A8" s="76"/>
      <c r="B8" s="76"/>
      <c r="C8" s="76"/>
      <c r="D8" s="76" t="str">
        <f t="shared" si="0"/>
        <v/>
      </c>
    </row>
    <row r="9" spans="1:4" x14ac:dyDescent="0.25">
      <c r="A9" s="76"/>
      <c r="B9" s="76"/>
      <c r="C9" s="76"/>
      <c r="D9" s="76" t="str">
        <f t="shared" si="0"/>
        <v/>
      </c>
    </row>
    <row r="10" spans="1:4" x14ac:dyDescent="0.25">
      <c r="A10" s="76"/>
      <c r="B10" s="76"/>
      <c r="C10" s="76"/>
      <c r="D10" s="76" t="str">
        <f t="shared" si="0"/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G33"/>
  <sheetViews>
    <sheetView topLeftCell="D1" workbookViewId="0">
      <selection activeCell="F5" sqref="F5"/>
    </sheetView>
  </sheetViews>
  <sheetFormatPr defaultRowHeight="15" outlineLevelRow="2" x14ac:dyDescent="0.25"/>
  <cols>
    <col min="1" max="1" width="57.25" bestFit="1" customWidth="1"/>
    <col min="2" max="2" width="10.625" bestFit="1" customWidth="1"/>
    <col min="3" max="3" width="46.5" bestFit="1" customWidth="1"/>
    <col min="4" max="4" width="57.25" bestFit="1" customWidth="1"/>
    <col min="5" max="5" width="9.875" bestFit="1" customWidth="1"/>
    <col min="6" max="6" width="39.75" bestFit="1" customWidth="1"/>
    <col min="7" max="7" width="76" bestFit="1" customWidth="1"/>
  </cols>
  <sheetData>
    <row r="1" spans="1:7" ht="18" x14ac:dyDescent="0.25">
      <c r="A1" s="78" t="s">
        <v>304</v>
      </c>
      <c r="B1" s="78" t="s">
        <v>305</v>
      </c>
      <c r="C1" s="78" t="s">
        <v>306</v>
      </c>
      <c r="D1" s="78" t="s">
        <v>316</v>
      </c>
      <c r="E1" s="78" t="s">
        <v>322</v>
      </c>
      <c r="F1" s="78" t="s">
        <v>321</v>
      </c>
      <c r="G1" s="78" t="s">
        <v>318</v>
      </c>
    </row>
    <row r="2" spans="1:7" outlineLevel="2" x14ac:dyDescent="0.25">
      <c r="A2" t="s">
        <v>294</v>
      </c>
      <c r="B2" t="s">
        <v>340</v>
      </c>
      <c r="C2" t="s">
        <v>341</v>
      </c>
      <c r="D2" t="s">
        <v>310</v>
      </c>
      <c r="E2">
        <v>3</v>
      </c>
      <c r="F2" t="s">
        <v>324</v>
      </c>
      <c r="G2" s="79" t="s">
        <v>362</v>
      </c>
    </row>
    <row r="3" spans="1:7" outlineLevel="2" x14ac:dyDescent="0.25">
      <c r="B3" t="s">
        <v>326</v>
      </c>
      <c r="E3">
        <v>16</v>
      </c>
      <c r="F3" t="s">
        <v>324</v>
      </c>
      <c r="G3" s="79"/>
    </row>
    <row r="4" spans="1:7" outlineLevel="2" x14ac:dyDescent="0.25">
      <c r="A4" t="s">
        <v>310</v>
      </c>
      <c r="B4" t="s">
        <v>319</v>
      </c>
      <c r="D4" t="s">
        <v>310</v>
      </c>
      <c r="E4">
        <v>5</v>
      </c>
      <c r="F4" t="s">
        <v>324</v>
      </c>
      <c r="G4" s="79" t="s">
        <v>364</v>
      </c>
    </row>
    <row r="5" spans="1:7" outlineLevel="1" x14ac:dyDescent="0.25">
      <c r="F5" t="s">
        <v>375</v>
      </c>
      <c r="G5" s="79">
        <f>SUBTOTAL(3,G2:G4)</f>
        <v>2</v>
      </c>
    </row>
    <row r="6" spans="1:7" outlineLevel="2" x14ac:dyDescent="0.25">
      <c r="A6" t="s">
        <v>297</v>
      </c>
      <c r="B6" t="s">
        <v>346</v>
      </c>
      <c r="C6" t="s">
        <v>347</v>
      </c>
      <c r="D6" t="s">
        <v>313</v>
      </c>
      <c r="E6">
        <v>8</v>
      </c>
      <c r="F6" t="s">
        <v>332</v>
      </c>
      <c r="G6" s="79" t="s">
        <v>367</v>
      </c>
    </row>
    <row r="7" spans="1:7" outlineLevel="2" x14ac:dyDescent="0.25">
      <c r="B7" t="s">
        <v>331</v>
      </c>
      <c r="E7">
        <v>19</v>
      </c>
      <c r="F7" t="s">
        <v>332</v>
      </c>
      <c r="G7" s="79"/>
    </row>
    <row r="8" spans="1:7" outlineLevel="2" x14ac:dyDescent="0.25">
      <c r="A8" t="s">
        <v>299</v>
      </c>
      <c r="B8" t="s">
        <v>350</v>
      </c>
      <c r="C8" t="s">
        <v>351</v>
      </c>
      <c r="D8" t="s">
        <v>313</v>
      </c>
      <c r="E8">
        <v>10</v>
      </c>
      <c r="F8" t="s">
        <v>332</v>
      </c>
      <c r="G8" s="79" t="s">
        <v>369</v>
      </c>
    </row>
    <row r="9" spans="1:7" outlineLevel="1" x14ac:dyDescent="0.25">
      <c r="F9" t="s">
        <v>376</v>
      </c>
      <c r="G9" s="79">
        <f>SUBTOTAL(3,G6:G8)</f>
        <v>2</v>
      </c>
    </row>
    <row r="10" spans="1:7" outlineLevel="2" x14ac:dyDescent="0.25">
      <c r="A10" t="s">
        <v>293</v>
      </c>
      <c r="B10" t="s">
        <v>337</v>
      </c>
      <c r="C10" t="s">
        <v>338</v>
      </c>
      <c r="D10" t="s">
        <v>309</v>
      </c>
      <c r="E10">
        <v>2</v>
      </c>
      <c r="F10" t="s">
        <v>323</v>
      </c>
      <c r="G10" s="79" t="s">
        <v>361</v>
      </c>
    </row>
    <row r="11" spans="1:7" outlineLevel="2" x14ac:dyDescent="0.25">
      <c r="B11" t="s">
        <v>325</v>
      </c>
      <c r="E11">
        <v>15</v>
      </c>
      <c r="F11" t="s">
        <v>323</v>
      </c>
      <c r="G11" s="79"/>
    </row>
    <row r="12" spans="1:7" outlineLevel="1" x14ac:dyDescent="0.25">
      <c r="F12" t="s">
        <v>377</v>
      </c>
      <c r="G12" s="79">
        <f>SUBTOTAL(3,G10:G11)</f>
        <v>1</v>
      </c>
    </row>
    <row r="13" spans="1:7" outlineLevel="2" x14ac:dyDescent="0.25">
      <c r="A13" t="s">
        <v>301</v>
      </c>
      <c r="B13" t="s">
        <v>354</v>
      </c>
      <c r="C13" t="s">
        <v>355</v>
      </c>
      <c r="D13" t="s">
        <v>315</v>
      </c>
      <c r="E13">
        <v>12</v>
      </c>
      <c r="F13" t="s">
        <v>334</v>
      </c>
      <c r="G13" s="79" t="s">
        <v>371</v>
      </c>
    </row>
    <row r="14" spans="1:7" outlineLevel="2" x14ac:dyDescent="0.25">
      <c r="E14">
        <v>21</v>
      </c>
      <c r="F14" t="s">
        <v>334</v>
      </c>
      <c r="G14" s="79"/>
    </row>
    <row r="15" spans="1:7" outlineLevel="2" x14ac:dyDescent="0.25">
      <c r="A15" t="s">
        <v>303</v>
      </c>
      <c r="B15" t="s">
        <v>358</v>
      </c>
      <c r="C15" t="s">
        <v>359</v>
      </c>
      <c r="D15" t="s">
        <v>315</v>
      </c>
      <c r="E15">
        <v>14</v>
      </c>
      <c r="F15" t="s">
        <v>334</v>
      </c>
      <c r="G15" s="79" t="s">
        <v>373</v>
      </c>
    </row>
    <row r="16" spans="1:7" outlineLevel="1" x14ac:dyDescent="0.25">
      <c r="F16" t="s">
        <v>378</v>
      </c>
      <c r="G16" s="79">
        <f>SUBTOTAL(3,G13:G15)</f>
        <v>2</v>
      </c>
    </row>
    <row r="17" spans="1:7" outlineLevel="2" x14ac:dyDescent="0.25">
      <c r="A17" t="s">
        <v>292</v>
      </c>
      <c r="B17" t="s">
        <v>335</v>
      </c>
      <c r="C17" t="s">
        <v>336</v>
      </c>
      <c r="D17" t="s">
        <v>308</v>
      </c>
      <c r="E17">
        <v>1</v>
      </c>
      <c r="F17" t="s">
        <v>374</v>
      </c>
      <c r="G17" s="79" t="s">
        <v>360</v>
      </c>
    </row>
    <row r="18" spans="1:7" outlineLevel="1" x14ac:dyDescent="0.25">
      <c r="F18" t="s">
        <v>379</v>
      </c>
      <c r="G18" s="79">
        <f>SUBTOTAL(3,G17:G17)</f>
        <v>1</v>
      </c>
    </row>
    <row r="19" spans="1:7" outlineLevel="2" x14ac:dyDescent="0.25">
      <c r="A19" t="s">
        <v>295</v>
      </c>
      <c r="B19" t="s">
        <v>342</v>
      </c>
      <c r="C19" t="s">
        <v>343</v>
      </c>
      <c r="D19" t="s">
        <v>311</v>
      </c>
      <c r="E19">
        <v>4</v>
      </c>
      <c r="F19" t="s">
        <v>328</v>
      </c>
      <c r="G19" s="79" t="s">
        <v>363</v>
      </c>
    </row>
    <row r="20" spans="1:7" outlineLevel="2" x14ac:dyDescent="0.25">
      <c r="B20" t="s">
        <v>327</v>
      </c>
      <c r="E20">
        <v>17</v>
      </c>
      <c r="F20" t="s">
        <v>328</v>
      </c>
      <c r="G20" s="79" t="s">
        <v>339</v>
      </c>
    </row>
    <row r="21" spans="1:7" outlineLevel="2" x14ac:dyDescent="0.25">
      <c r="A21" t="s">
        <v>311</v>
      </c>
      <c r="B21" t="s">
        <v>320</v>
      </c>
      <c r="D21" t="s">
        <v>311</v>
      </c>
      <c r="E21">
        <v>6</v>
      </c>
      <c r="F21" t="s">
        <v>328</v>
      </c>
      <c r="G21" s="79" t="s">
        <v>365</v>
      </c>
    </row>
    <row r="22" spans="1:7" outlineLevel="1" x14ac:dyDescent="0.25">
      <c r="F22" t="s">
        <v>380</v>
      </c>
      <c r="G22" s="79">
        <f>SUBTOTAL(3,G19:G21)</f>
        <v>3</v>
      </c>
    </row>
    <row r="23" spans="1:7" outlineLevel="2" x14ac:dyDescent="0.25">
      <c r="A23" t="s">
        <v>296</v>
      </c>
      <c r="B23" t="s">
        <v>344</v>
      </c>
      <c r="C23" t="s">
        <v>345</v>
      </c>
      <c r="D23" t="s">
        <v>312</v>
      </c>
      <c r="E23">
        <v>7</v>
      </c>
      <c r="F23" t="s">
        <v>329</v>
      </c>
      <c r="G23" s="79" t="s">
        <v>366</v>
      </c>
    </row>
    <row r="24" spans="1:7" outlineLevel="2" x14ac:dyDescent="0.25">
      <c r="B24" t="s">
        <v>330</v>
      </c>
      <c r="E24">
        <v>18</v>
      </c>
      <c r="F24" t="s">
        <v>329</v>
      </c>
      <c r="G24" s="79"/>
    </row>
    <row r="25" spans="1:7" outlineLevel="2" x14ac:dyDescent="0.25">
      <c r="A25" t="s">
        <v>298</v>
      </c>
      <c r="B25" t="s">
        <v>348</v>
      </c>
      <c r="C25" t="s">
        <v>349</v>
      </c>
      <c r="D25" t="s">
        <v>312</v>
      </c>
      <c r="E25">
        <v>9</v>
      </c>
      <c r="F25" t="s">
        <v>329</v>
      </c>
      <c r="G25" s="79" t="s">
        <v>368</v>
      </c>
    </row>
    <row r="26" spans="1:7" outlineLevel="1" x14ac:dyDescent="0.25">
      <c r="F26" t="s">
        <v>381</v>
      </c>
      <c r="G26" s="79">
        <f>SUBTOTAL(3,G23:G25)</f>
        <v>2</v>
      </c>
    </row>
    <row r="27" spans="1:7" outlineLevel="2" x14ac:dyDescent="0.25">
      <c r="A27" t="s">
        <v>300</v>
      </c>
      <c r="B27" t="s">
        <v>352</v>
      </c>
      <c r="C27" t="s">
        <v>353</v>
      </c>
      <c r="D27" t="s">
        <v>314</v>
      </c>
      <c r="E27">
        <v>11</v>
      </c>
      <c r="F27" t="s">
        <v>333</v>
      </c>
      <c r="G27" s="79" t="s">
        <v>370</v>
      </c>
    </row>
    <row r="28" spans="1:7" outlineLevel="2" x14ac:dyDescent="0.25">
      <c r="E28">
        <v>20</v>
      </c>
      <c r="F28" t="s">
        <v>333</v>
      </c>
      <c r="G28" s="79"/>
    </row>
    <row r="29" spans="1:7" outlineLevel="2" x14ac:dyDescent="0.25">
      <c r="A29" t="s">
        <v>302</v>
      </c>
      <c r="B29" t="s">
        <v>356</v>
      </c>
      <c r="C29" t="s">
        <v>357</v>
      </c>
      <c r="D29" t="s">
        <v>314</v>
      </c>
      <c r="E29">
        <v>13</v>
      </c>
      <c r="F29" t="s">
        <v>333</v>
      </c>
      <c r="G29" s="79" t="s">
        <v>372</v>
      </c>
    </row>
    <row r="30" spans="1:7" outlineLevel="1" x14ac:dyDescent="0.25">
      <c r="F30" t="s">
        <v>382</v>
      </c>
      <c r="G30" s="79">
        <f>SUBTOTAL(3,G27:G29)</f>
        <v>2</v>
      </c>
    </row>
    <row r="31" spans="1:7" x14ac:dyDescent="0.25">
      <c r="F31" t="s">
        <v>383</v>
      </c>
      <c r="G31" s="79">
        <f>SUBTOTAL(3,G2:G29)</f>
        <v>15</v>
      </c>
    </row>
    <row r="32" spans="1:7" x14ac:dyDescent="0.25">
      <c r="G32" s="79"/>
    </row>
    <row r="33" spans="3:7" x14ac:dyDescent="0.25">
      <c r="C33" t="s">
        <v>307</v>
      </c>
      <c r="G33" s="79" t="s">
        <v>317</v>
      </c>
    </row>
  </sheetData>
  <sortState ref="A2:G28">
    <sortCondition ref="F2:F28"/>
  </sortState>
  <conditionalFormatting sqref="F32 F2">
    <cfRule type="expression" dxfId="34" priority="6">
      <formula>AND(LEN(F2)&gt;1,COUNTIF(Compact_GUID,F2)&gt;1)</formula>
    </cfRule>
  </conditionalFormatting>
  <conditionalFormatting sqref="A2:H2">
    <cfRule type="expression" dxfId="33" priority="3">
      <formula>FIND("Count",$F2)</formula>
    </cfRule>
  </conditionalFormatting>
  <conditionalFormatting sqref="F3:F31">
    <cfRule type="expression" dxfId="32" priority="2">
      <formula>AND(LEN(F3)&gt;1,COUNTIF(Compact_GUID,F3)&gt;1)</formula>
    </cfRule>
  </conditionalFormatting>
  <conditionalFormatting sqref="A3:G31">
    <cfRule type="expression" dxfId="31" priority="1">
      <formula>FIND("Count",$F3)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H13"/>
  <sheetViews>
    <sheetView topLeftCell="L1" workbookViewId="0">
      <selection activeCell="V10" sqref="V10"/>
    </sheetView>
  </sheetViews>
  <sheetFormatPr defaultRowHeight="15" x14ac:dyDescent="0.25"/>
  <cols>
    <col min="1" max="1" width="130.5" bestFit="1" customWidth="1"/>
    <col min="2" max="2" width="27.375" bestFit="1" customWidth="1"/>
    <col min="3" max="3" width="8.125" bestFit="1" customWidth="1"/>
    <col min="4" max="4" width="10.875" customWidth="1"/>
    <col min="5" max="5" width="9.375" bestFit="1" customWidth="1"/>
    <col min="6" max="6" width="14" customWidth="1"/>
    <col min="7" max="7" width="33.625" bestFit="1" customWidth="1"/>
    <col min="8" max="8" width="8.125" bestFit="1" customWidth="1"/>
    <col min="9" max="9" width="7.75" bestFit="1" customWidth="1"/>
    <col min="10" max="10" width="5.75" bestFit="1" customWidth="1"/>
    <col min="12" max="12" width="22.75" bestFit="1" customWidth="1"/>
    <col min="16" max="16" width="6.5" bestFit="1" customWidth="1"/>
    <col min="17" max="17" width="5.25" bestFit="1" customWidth="1"/>
    <col min="18" max="18" width="33.625" bestFit="1" customWidth="1"/>
    <col min="19" max="19" width="21.75" bestFit="1" customWidth="1"/>
    <col min="20" max="20" width="29.875" bestFit="1" customWidth="1"/>
    <col min="21" max="21" width="28.25" bestFit="1" customWidth="1"/>
    <col min="22" max="22" width="18.875" bestFit="1" customWidth="1"/>
    <col min="23" max="23" width="11.625" bestFit="1" customWidth="1"/>
    <col min="24" max="24" width="41.875" bestFit="1" customWidth="1"/>
    <col min="25" max="25" width="33.625" bestFit="1" customWidth="1"/>
    <col min="26" max="26" width="15.25" bestFit="1" customWidth="1"/>
    <col min="28" max="28" width="32.875" bestFit="1" customWidth="1"/>
    <col min="30" max="30" width="50.125" bestFit="1" customWidth="1"/>
    <col min="31" max="31" width="101.625" bestFit="1" customWidth="1"/>
  </cols>
  <sheetData>
    <row r="1" spans="1:34" ht="18" x14ac:dyDescent="0.25">
      <c r="A1" s="110" t="s">
        <v>384</v>
      </c>
      <c r="B1" s="109" t="s">
        <v>385</v>
      </c>
      <c r="C1" s="109"/>
      <c r="D1" s="109" t="s">
        <v>386</v>
      </c>
      <c r="E1" s="109"/>
      <c r="F1" s="81" t="s">
        <v>397</v>
      </c>
      <c r="G1" s="81"/>
      <c r="H1" s="81"/>
      <c r="I1" s="81"/>
      <c r="J1" s="81"/>
      <c r="K1" s="81"/>
      <c r="L1" s="81"/>
      <c r="M1" s="81"/>
      <c r="N1" s="81"/>
      <c r="P1" s="106" t="s">
        <v>403</v>
      </c>
      <c r="Q1" s="108"/>
      <c r="R1" s="106" t="s">
        <v>417</v>
      </c>
      <c r="S1" s="107"/>
      <c r="T1" s="107"/>
      <c r="U1" s="107"/>
      <c r="V1" s="107"/>
      <c r="W1" s="108"/>
      <c r="X1" s="106" t="s">
        <v>424</v>
      </c>
      <c r="Y1" s="107"/>
      <c r="Z1" s="107"/>
      <c r="AA1" s="108"/>
      <c r="AB1" s="106" t="s">
        <v>426</v>
      </c>
      <c r="AC1" s="107"/>
      <c r="AD1" s="108"/>
      <c r="AE1" s="81" t="s">
        <v>427</v>
      </c>
      <c r="AF1" s="81"/>
      <c r="AG1" s="81"/>
      <c r="AH1" s="81"/>
    </row>
    <row r="2" spans="1:34" ht="18" x14ac:dyDescent="0.25">
      <c r="A2" s="111"/>
      <c r="B2" s="80" t="s">
        <v>177</v>
      </c>
      <c r="C2" s="81" t="s">
        <v>396</v>
      </c>
      <c r="D2" s="81" t="s">
        <v>177</v>
      </c>
      <c r="E2" s="81" t="s">
        <v>274</v>
      </c>
      <c r="F2" s="81" t="s">
        <v>398</v>
      </c>
      <c r="G2" s="81" t="s">
        <v>399</v>
      </c>
      <c r="H2" s="81" t="s">
        <v>396</v>
      </c>
      <c r="I2" s="81" t="s">
        <v>400</v>
      </c>
      <c r="J2" s="81" t="s">
        <v>401</v>
      </c>
      <c r="K2" s="81" t="s">
        <v>402</v>
      </c>
      <c r="L2" s="81" t="s">
        <v>414</v>
      </c>
      <c r="M2" s="81"/>
      <c r="N2" s="81"/>
      <c r="P2" s="81" t="s">
        <v>416</v>
      </c>
      <c r="Q2" s="81" t="s">
        <v>415</v>
      </c>
      <c r="R2" s="81" t="s">
        <v>418</v>
      </c>
      <c r="S2" s="81" t="s">
        <v>419</v>
      </c>
      <c r="T2" s="81" t="s">
        <v>420</v>
      </c>
      <c r="U2" s="81" t="s">
        <v>421</v>
      </c>
      <c r="V2" s="81" t="s">
        <v>422</v>
      </c>
      <c r="W2" s="81" t="s">
        <v>423</v>
      </c>
      <c r="X2" s="81" t="s">
        <v>411</v>
      </c>
      <c r="Y2" s="81" t="s">
        <v>412</v>
      </c>
      <c r="Z2" s="81" t="s">
        <v>413</v>
      </c>
      <c r="AA2" s="81" t="s">
        <v>274</v>
      </c>
      <c r="AB2" s="81" t="s">
        <v>13</v>
      </c>
      <c r="AC2" s="81" t="s">
        <v>177</v>
      </c>
      <c r="AD2" s="81" t="s">
        <v>425</v>
      </c>
      <c r="AE2" s="81" t="str">
        <f>CONCATENATE("public static readonly ",LEFT(R1,FIND(CHAR(32),R1)-1),"[] s_a",LOWER(LEFT(R1,FIND(CHAR(32),R1)-1)),"={")</f>
        <v>public static readonly BCLIntegerTypeInfo[] s_abclintegertypeinfo={</v>
      </c>
      <c r="AF2" s="81"/>
      <c r="AG2" s="81"/>
      <c r="AH2" s="81"/>
    </row>
    <row r="3" spans="1:34" x14ac:dyDescent="0.25">
      <c r="A3" s="82" t="s">
        <v>387</v>
      </c>
      <c r="B3" s="83">
        <f>INT(TRIM(MID(A3,89,FIND(",",A3,89)-89)))</f>
        <v>255</v>
      </c>
      <c r="C3" s="82">
        <f>LEN(B3)</f>
        <v>3</v>
      </c>
      <c r="D3" s="82" t="str">
        <f>CONCATENATE("0x",DEC2HEX(B3))</f>
        <v>0xFF</v>
      </c>
      <c r="E3" s="82">
        <f>IFERROR(LEN(D3)-2,"")</f>
        <v>2</v>
      </c>
      <c r="F3" s="82" t="str">
        <f>TRIM(MID(A3,13,18))</f>
        <v>System.Byte</v>
      </c>
      <c r="G3" s="82" t="str">
        <f>MID(A3,39,32)</f>
        <v>4073959bbaad343291ea46a5c9bff530</v>
      </c>
      <c r="H3" s="82">
        <f>C3</f>
        <v>3</v>
      </c>
      <c r="I3" s="82">
        <f>IFERROR(E3/2,8)</f>
        <v>1</v>
      </c>
      <c r="J3" s="82">
        <f>I3*8</f>
        <v>8</v>
      </c>
      <c r="K3" s="85" t="b">
        <f>IF(OR(MID(F3,8,1)="U",MID(F3,8,1)="B"),FALSE,TRUE)</f>
        <v>0</v>
      </c>
      <c r="L3" s="82" t="str">
        <f>F3</f>
        <v>System.Byte</v>
      </c>
      <c r="M3" s="82"/>
      <c r="N3" s="82"/>
      <c r="P3" s="82">
        <f>IF(ISNUMBER(P2),P2+1,1)</f>
        <v>1</v>
      </c>
      <c r="Q3" s="82">
        <v>2</v>
      </c>
      <c r="R3" s="82" t="s">
        <v>324</v>
      </c>
      <c r="S3" s="82" t="str">
        <f t="shared" ref="S3:S9" si="0">VLOOKUP(R3,TypeFromGUIDLookup,6,FALSE)</f>
        <v>System.Int16</v>
      </c>
      <c r="T3" s="82">
        <v>5</v>
      </c>
      <c r="U3" s="82">
        <v>2</v>
      </c>
      <c r="V3" s="82">
        <v>16</v>
      </c>
      <c r="W3" s="85" t="b">
        <v>1</v>
      </c>
      <c r="X3" s="82" t="s">
        <v>404</v>
      </c>
      <c r="Y3" s="82" t="str">
        <f>RIGHT(X3,LEN(X3)-8)</f>
        <v>34af6d20a55b04358a19d57699561886</v>
      </c>
      <c r="Z3" s="82" t="b">
        <f>R3=Y3</f>
        <v>1</v>
      </c>
      <c r="AA3" s="82">
        <f>LEN(Y3)</f>
        <v>32</v>
      </c>
      <c r="AB3" s="82" t="str">
        <f>CONCATENATE("BCL_INTEGRAL_TYPEINFO_",UPPER(RIGHT(S3,LEN(S3)-7)))</f>
        <v>BCL_INTEGRAL_TYPEINFO_INT16</v>
      </c>
      <c r="AC3" s="82">
        <f>P3-1</f>
        <v>0</v>
      </c>
      <c r="AD3" s="82" t="str">
        <f>CONCATENATE("public const int ",AB3,"=",AC3,";")</f>
        <v>public const int BCL_INTEGRAL_TYPEINFO_INT16=0;</v>
      </c>
      <c r="AE3" s="82" t="str">
        <f>CONCATENATE("new ",LEFT(R$1,FIND(CHAR(32),R$1)-1)," ( ",CHAR(34),R3,CHAR(34),",typeof(",S3,"),",T3,",",U3,",",V3,",",LOWER(W3)," ),")</f>
        <v>new BCLIntegerTypeInfo ( "34af6d20a55b04358a19d57699561886",typeof(System.Int16),5,2,16,true ),</v>
      </c>
      <c r="AF3" s="82"/>
      <c r="AG3" s="82"/>
      <c r="AH3" s="82"/>
    </row>
    <row r="4" spans="1:34" x14ac:dyDescent="0.25">
      <c r="A4" s="82" t="s">
        <v>388</v>
      </c>
      <c r="B4" s="83">
        <f t="shared" ref="B4:B9" si="1">INT(TRIM(MID(A4,89,FIND(",",A4,89)-89)))</f>
        <v>32767</v>
      </c>
      <c r="C4" s="82">
        <f t="shared" ref="C4:C6" si="2">LEN(B4)</f>
        <v>5</v>
      </c>
      <c r="D4" s="82" t="str">
        <f t="shared" ref="D4:D6" si="3">CONCATENATE("0x",DEC2HEX(B4))</f>
        <v>0x7FFF</v>
      </c>
      <c r="E4" s="82">
        <f t="shared" ref="E4:E6" si="4">IFERROR(LEN(D4)-2,"")</f>
        <v>4</v>
      </c>
      <c r="F4" s="82" t="str">
        <f t="shared" ref="F4:F9" si="5">TRIM(MID(A4,13,18))</f>
        <v>System.Int16</v>
      </c>
      <c r="G4" s="82" t="str">
        <f t="shared" ref="G4:G9" si="6">MID(A4,39,32)</f>
        <v>34af6d20a55b04358a19d57699561886</v>
      </c>
      <c r="H4" s="82">
        <f t="shared" ref="H4:H9" si="7">C4</f>
        <v>5</v>
      </c>
      <c r="I4" s="82">
        <f t="shared" ref="I4:I9" si="8">IFERROR(E4/2,8)</f>
        <v>2</v>
      </c>
      <c r="J4" s="82">
        <f t="shared" ref="J4:J9" si="9">I4*8</f>
        <v>16</v>
      </c>
      <c r="K4" s="85" t="b">
        <f t="shared" ref="K4:K9" si="10">IF(OR(MID(F4,8,1)="U",MID(F4,8,1)="B"),FALSE,TRUE)</f>
        <v>1</v>
      </c>
      <c r="L4" s="82" t="str">
        <f t="shared" ref="L4:L9" si="11">F4</f>
        <v>System.Int16</v>
      </c>
      <c r="M4" s="82"/>
      <c r="N4" s="82"/>
      <c r="P4" s="82">
        <f t="shared" ref="P4:P9" si="12">IF(ISNUMBER(P3),P3+1,1)</f>
        <v>2</v>
      </c>
      <c r="Q4" s="82">
        <v>5</v>
      </c>
      <c r="R4" s="82" t="s">
        <v>332</v>
      </c>
      <c r="S4" s="82" t="str">
        <f t="shared" si="0"/>
        <v>System.UInt32</v>
      </c>
      <c r="T4" s="82">
        <v>10</v>
      </c>
      <c r="U4" s="82">
        <v>4</v>
      </c>
      <c r="V4" s="82">
        <v>32</v>
      </c>
      <c r="W4" s="85" t="b">
        <v>0</v>
      </c>
      <c r="X4" s="82" t="s">
        <v>405</v>
      </c>
      <c r="Y4" s="82" t="str">
        <f t="shared" ref="Y4:Y9" si="13">RIGHT(X4,LEN(X4)-8)</f>
        <v>404e854f6daf303d860ae9722c85e9a3</v>
      </c>
      <c r="Z4" s="82" t="b">
        <f t="shared" ref="Z4:Z9" si="14">R4=Y4</f>
        <v>1</v>
      </c>
      <c r="AA4" s="82">
        <f t="shared" ref="AA4:AA9" si="15">LEN(Y4)</f>
        <v>32</v>
      </c>
      <c r="AB4" s="82" t="str">
        <f t="shared" ref="AB4:AB9" si="16">CONCATENATE("BCL_INTEGRAL_TYPEINFO_",UPPER(RIGHT(S4,LEN(S4)-7)))</f>
        <v>BCL_INTEGRAL_TYPEINFO_UINT32</v>
      </c>
      <c r="AC4" s="82">
        <f t="shared" ref="AC4:AC9" si="17">P4-1</f>
        <v>1</v>
      </c>
      <c r="AD4" s="82" t="str">
        <f t="shared" ref="AD4:AD9" si="18">CONCATENATE("public const int ",AB4,"=",AC4,";")</f>
        <v>public const int BCL_INTEGRAL_TYPEINFO_UINT32=1;</v>
      </c>
      <c r="AE4" s="82" t="str">
        <f t="shared" ref="AE4:AE9" si="19">CONCATENATE("new ",LEFT(R$1,FIND(CHAR(32),R$1)-1)," ( ",CHAR(34),R4,CHAR(34),",typeof(",S4,"),",T4,",",U4,",",V4,",",LOWER(W4)," ),")</f>
        <v>new BCLIntegerTypeInfo ( "404e854f6daf303d860ae9722c85e9a3",typeof(System.UInt32),10,4,32,false ),</v>
      </c>
      <c r="AF4" s="82"/>
      <c r="AG4" s="82"/>
      <c r="AH4" s="82"/>
    </row>
    <row r="5" spans="1:34" x14ac:dyDescent="0.25">
      <c r="A5" s="82" t="s">
        <v>389</v>
      </c>
      <c r="B5" s="83">
        <f t="shared" si="1"/>
        <v>65535</v>
      </c>
      <c r="C5" s="82">
        <f t="shared" si="2"/>
        <v>5</v>
      </c>
      <c r="D5" s="82" t="str">
        <f t="shared" si="3"/>
        <v>0xFFFF</v>
      </c>
      <c r="E5" s="82">
        <f t="shared" si="4"/>
        <v>4</v>
      </c>
      <c r="F5" s="82" t="str">
        <f t="shared" si="5"/>
        <v>System.UInt16</v>
      </c>
      <c r="G5" s="82" t="str">
        <f t="shared" si="6"/>
        <v>b728090fdd11dd31a0d5bb008ae887bf</v>
      </c>
      <c r="H5" s="82">
        <f t="shared" si="7"/>
        <v>5</v>
      </c>
      <c r="I5" s="82">
        <f t="shared" si="8"/>
        <v>2</v>
      </c>
      <c r="J5" s="82">
        <f t="shared" si="9"/>
        <v>16</v>
      </c>
      <c r="K5" s="85" t="b">
        <f t="shared" si="10"/>
        <v>0</v>
      </c>
      <c r="L5" s="82" t="str">
        <f t="shared" si="11"/>
        <v>System.UInt16</v>
      </c>
      <c r="M5" s="82"/>
      <c r="N5" s="82"/>
      <c r="P5" s="82">
        <f t="shared" si="12"/>
        <v>3</v>
      </c>
      <c r="Q5" s="82">
        <v>1</v>
      </c>
      <c r="R5" s="82" t="s">
        <v>323</v>
      </c>
      <c r="S5" s="82" t="str">
        <f t="shared" si="0"/>
        <v>System.Byte</v>
      </c>
      <c r="T5" s="82">
        <v>3</v>
      </c>
      <c r="U5" s="82">
        <v>1</v>
      </c>
      <c r="V5" s="82">
        <v>8</v>
      </c>
      <c r="W5" s="85" t="b">
        <v>0</v>
      </c>
      <c r="X5" s="82" t="s">
        <v>406</v>
      </c>
      <c r="Y5" s="82" t="str">
        <f t="shared" si="13"/>
        <v>4073959bbaad343291ea46a5c9bff530</v>
      </c>
      <c r="Z5" s="82" t="b">
        <f t="shared" si="14"/>
        <v>1</v>
      </c>
      <c r="AA5" s="82">
        <f t="shared" si="15"/>
        <v>32</v>
      </c>
      <c r="AB5" s="82" t="str">
        <f t="shared" si="16"/>
        <v>BCL_INTEGRAL_TYPEINFO_BYTE</v>
      </c>
      <c r="AC5" s="82">
        <f t="shared" si="17"/>
        <v>2</v>
      </c>
      <c r="AD5" s="82" t="str">
        <f t="shared" si="18"/>
        <v>public const int BCL_INTEGRAL_TYPEINFO_BYTE=2;</v>
      </c>
      <c r="AE5" s="82" t="str">
        <f t="shared" si="19"/>
        <v>new BCLIntegerTypeInfo ( "4073959bbaad343291ea46a5c9bff530",typeof(System.Byte),3,1,8,false ),</v>
      </c>
      <c r="AF5" s="82"/>
      <c r="AG5" s="82"/>
      <c r="AH5" s="82"/>
    </row>
    <row r="6" spans="1:34" x14ac:dyDescent="0.25">
      <c r="A6" s="82" t="s">
        <v>390</v>
      </c>
      <c r="B6" s="83">
        <f t="shared" si="1"/>
        <v>2147483647</v>
      </c>
      <c r="C6" s="82">
        <f t="shared" si="2"/>
        <v>10</v>
      </c>
      <c r="D6" s="82" t="str">
        <f t="shared" si="3"/>
        <v>0x7FFFFFFF</v>
      </c>
      <c r="E6" s="82">
        <f t="shared" si="4"/>
        <v>8</v>
      </c>
      <c r="F6" s="82" t="str">
        <f t="shared" si="5"/>
        <v>System.Int32</v>
      </c>
      <c r="G6" s="82" t="str">
        <f t="shared" si="6"/>
        <v>ddfa10a3337c7c379d6b599b0317d7f2</v>
      </c>
      <c r="H6" s="82">
        <f t="shared" si="7"/>
        <v>10</v>
      </c>
      <c r="I6" s="82">
        <f t="shared" si="8"/>
        <v>4</v>
      </c>
      <c r="J6" s="82">
        <f t="shared" si="9"/>
        <v>32</v>
      </c>
      <c r="K6" s="85" t="b">
        <f t="shared" si="10"/>
        <v>1</v>
      </c>
      <c r="L6" s="82" t="str">
        <f t="shared" si="11"/>
        <v>System.Int32</v>
      </c>
      <c r="M6" s="82"/>
      <c r="N6" s="82"/>
      <c r="P6" s="82">
        <f t="shared" si="12"/>
        <v>4</v>
      </c>
      <c r="Q6" s="82">
        <v>7</v>
      </c>
      <c r="R6" s="82" t="s">
        <v>334</v>
      </c>
      <c r="S6" s="82" t="str">
        <f t="shared" si="0"/>
        <v>System.UInt64</v>
      </c>
      <c r="T6" s="82">
        <v>20</v>
      </c>
      <c r="U6" s="82">
        <v>8</v>
      </c>
      <c r="V6" s="82">
        <v>64</v>
      </c>
      <c r="W6" s="85" t="b">
        <v>0</v>
      </c>
      <c r="X6" s="82" t="s">
        <v>407</v>
      </c>
      <c r="Y6" s="82" t="str">
        <f t="shared" si="13"/>
        <v>6b7dad62cc52d43ea20d1a32ef6bf1da</v>
      </c>
      <c r="Z6" s="82" t="b">
        <f t="shared" si="14"/>
        <v>1</v>
      </c>
      <c r="AA6" s="82">
        <f t="shared" si="15"/>
        <v>32</v>
      </c>
      <c r="AB6" s="82" t="str">
        <f t="shared" si="16"/>
        <v>BCL_INTEGRAL_TYPEINFO_UINT64</v>
      </c>
      <c r="AC6" s="82">
        <f t="shared" si="17"/>
        <v>3</v>
      </c>
      <c r="AD6" s="82" t="str">
        <f t="shared" si="18"/>
        <v>public const int BCL_INTEGRAL_TYPEINFO_UINT64=3;</v>
      </c>
      <c r="AE6" s="82" t="str">
        <f t="shared" si="19"/>
        <v>new BCLIntegerTypeInfo ( "6b7dad62cc52d43ea20d1a32ef6bf1da",typeof(System.UInt64),20,8,64,false ),</v>
      </c>
      <c r="AF6" s="82"/>
      <c r="AG6" s="82"/>
      <c r="AH6" s="82"/>
    </row>
    <row r="7" spans="1:34" x14ac:dyDescent="0.25">
      <c r="A7" s="82" t="s">
        <v>391</v>
      </c>
      <c r="B7" s="83">
        <f t="shared" si="1"/>
        <v>4294967295</v>
      </c>
      <c r="C7" s="82">
        <f t="shared" ref="C7:C9" si="20">LEN(B7)</f>
        <v>10</v>
      </c>
      <c r="D7" s="82" t="str">
        <f t="shared" ref="D7:D9" si="21">CONCATENATE("0x",DEC2HEX(B7))</f>
        <v>0xFFFFFFFF</v>
      </c>
      <c r="E7" s="82">
        <f t="shared" ref="E7:E9" si="22">IFERROR(LEN(D7)-2,"")</f>
        <v>8</v>
      </c>
      <c r="F7" s="82" t="str">
        <f t="shared" si="5"/>
        <v>System.UInt32</v>
      </c>
      <c r="G7" s="82" t="str">
        <f t="shared" si="6"/>
        <v>404e854f6daf303d860ae9722c85e9a3</v>
      </c>
      <c r="H7" s="82">
        <f t="shared" si="7"/>
        <v>10</v>
      </c>
      <c r="I7" s="82">
        <f t="shared" si="8"/>
        <v>4</v>
      </c>
      <c r="J7" s="82">
        <f t="shared" si="9"/>
        <v>32</v>
      </c>
      <c r="K7" s="85" t="b">
        <f t="shared" si="10"/>
        <v>0</v>
      </c>
      <c r="L7" s="82" t="str">
        <f t="shared" si="11"/>
        <v>System.UInt32</v>
      </c>
      <c r="M7" s="82"/>
      <c r="N7" s="82"/>
      <c r="P7" s="82">
        <f t="shared" si="12"/>
        <v>5</v>
      </c>
      <c r="Q7" s="82">
        <v>3</v>
      </c>
      <c r="R7" s="82" t="s">
        <v>328</v>
      </c>
      <c r="S7" s="82" t="str">
        <f t="shared" si="0"/>
        <v>System.UInt16</v>
      </c>
      <c r="T7" s="82">
        <v>5</v>
      </c>
      <c r="U7" s="82">
        <v>2</v>
      </c>
      <c r="V7" s="82">
        <v>16</v>
      </c>
      <c r="W7" s="85" t="b">
        <v>0</v>
      </c>
      <c r="X7" s="82" t="s">
        <v>408</v>
      </c>
      <c r="Y7" s="82" t="str">
        <f t="shared" si="13"/>
        <v>b728090fdd11dd31a0d5bb008ae887bf</v>
      </c>
      <c r="Z7" s="82" t="b">
        <f t="shared" si="14"/>
        <v>1</v>
      </c>
      <c r="AA7" s="82">
        <f t="shared" si="15"/>
        <v>32</v>
      </c>
      <c r="AB7" s="82" t="str">
        <f t="shared" si="16"/>
        <v>BCL_INTEGRAL_TYPEINFO_UINT16</v>
      </c>
      <c r="AC7" s="82">
        <f t="shared" si="17"/>
        <v>4</v>
      </c>
      <c r="AD7" s="82" t="str">
        <f t="shared" si="18"/>
        <v>public const int BCL_INTEGRAL_TYPEINFO_UINT16=4;</v>
      </c>
      <c r="AE7" s="82" t="str">
        <f t="shared" si="19"/>
        <v>new BCLIntegerTypeInfo ( "b728090fdd11dd31a0d5bb008ae887bf",typeof(System.UInt16),5,2,16,false ),</v>
      </c>
      <c r="AF7" s="82"/>
      <c r="AG7" s="82"/>
      <c r="AH7" s="82"/>
    </row>
    <row r="8" spans="1:34" x14ac:dyDescent="0.25">
      <c r="A8" s="82" t="s">
        <v>392</v>
      </c>
      <c r="B8" s="83">
        <f t="shared" si="1"/>
        <v>9.2233720368547697E+18</v>
      </c>
      <c r="C8" s="82">
        <f t="shared" si="20"/>
        <v>19</v>
      </c>
      <c r="D8" s="82" t="e">
        <f t="shared" si="21"/>
        <v>#NUM!</v>
      </c>
      <c r="E8" s="82" t="str">
        <f t="shared" si="22"/>
        <v/>
      </c>
      <c r="F8" s="82" t="str">
        <f t="shared" si="5"/>
        <v>System.Int64</v>
      </c>
      <c r="G8" s="82" t="str">
        <f t="shared" si="6"/>
        <v>f5ec1cadad5fcf3ead892febd6521fa9</v>
      </c>
      <c r="H8" s="82">
        <f t="shared" si="7"/>
        <v>19</v>
      </c>
      <c r="I8" s="82">
        <f t="shared" si="8"/>
        <v>8</v>
      </c>
      <c r="J8" s="82">
        <f t="shared" si="9"/>
        <v>64</v>
      </c>
      <c r="K8" s="85" t="b">
        <f t="shared" si="10"/>
        <v>1</v>
      </c>
      <c r="L8" s="82" t="str">
        <f t="shared" si="11"/>
        <v>System.Int64</v>
      </c>
      <c r="M8" s="82"/>
      <c r="N8" s="82"/>
      <c r="P8" s="82">
        <f t="shared" si="12"/>
        <v>6</v>
      </c>
      <c r="Q8" s="82">
        <v>4</v>
      </c>
      <c r="R8" s="82" t="s">
        <v>329</v>
      </c>
      <c r="S8" s="82" t="str">
        <f t="shared" si="0"/>
        <v>System.Int32</v>
      </c>
      <c r="T8" s="82">
        <v>10</v>
      </c>
      <c r="U8" s="82">
        <v>4</v>
      </c>
      <c r="V8" s="82">
        <v>32</v>
      </c>
      <c r="W8" s="85" t="b">
        <v>1</v>
      </c>
      <c r="X8" s="82" t="s">
        <v>409</v>
      </c>
      <c r="Y8" s="82" t="str">
        <f t="shared" si="13"/>
        <v>ddfa10a3337c7c379d6b599b0317d7f2</v>
      </c>
      <c r="Z8" s="82" t="b">
        <f t="shared" si="14"/>
        <v>1</v>
      </c>
      <c r="AA8" s="82">
        <f t="shared" si="15"/>
        <v>32</v>
      </c>
      <c r="AB8" s="82" t="str">
        <f t="shared" si="16"/>
        <v>BCL_INTEGRAL_TYPEINFO_INT32</v>
      </c>
      <c r="AC8" s="82">
        <f t="shared" si="17"/>
        <v>5</v>
      </c>
      <c r="AD8" s="82" t="str">
        <f t="shared" si="18"/>
        <v>public const int BCL_INTEGRAL_TYPEINFO_INT32=5;</v>
      </c>
      <c r="AE8" s="82" t="str">
        <f t="shared" si="19"/>
        <v>new BCLIntegerTypeInfo ( "ddfa10a3337c7c379d6b599b0317d7f2",typeof(System.Int32),10,4,32,true ),</v>
      </c>
      <c r="AF8" s="82"/>
      <c r="AG8" s="82"/>
      <c r="AH8" s="82"/>
    </row>
    <row r="9" spans="1:34" x14ac:dyDescent="0.25">
      <c r="A9" s="82" t="s">
        <v>393</v>
      </c>
      <c r="B9" s="83">
        <f t="shared" si="1"/>
        <v>1.84467440737095E+19</v>
      </c>
      <c r="C9" s="82">
        <f t="shared" si="20"/>
        <v>20</v>
      </c>
      <c r="D9" s="82" t="e">
        <f t="shared" si="21"/>
        <v>#NUM!</v>
      </c>
      <c r="E9" s="82" t="str">
        <f t="shared" si="22"/>
        <v/>
      </c>
      <c r="F9" s="82" t="str">
        <f t="shared" si="5"/>
        <v>System.UInt64</v>
      </c>
      <c r="G9" s="82" t="str">
        <f t="shared" si="6"/>
        <v>6b7dad62cc52d43ea20d1a32ef6bf1da</v>
      </c>
      <c r="H9" s="82">
        <f t="shared" si="7"/>
        <v>20</v>
      </c>
      <c r="I9" s="82">
        <f t="shared" si="8"/>
        <v>8</v>
      </c>
      <c r="J9" s="82">
        <f t="shared" si="9"/>
        <v>64</v>
      </c>
      <c r="K9" s="85" t="b">
        <f t="shared" si="10"/>
        <v>0</v>
      </c>
      <c r="L9" s="82" t="str">
        <f t="shared" si="11"/>
        <v>System.UInt64</v>
      </c>
      <c r="M9" s="82"/>
      <c r="N9" s="82"/>
      <c r="P9" s="82">
        <f t="shared" si="12"/>
        <v>7</v>
      </c>
      <c r="Q9" s="82">
        <v>6</v>
      </c>
      <c r="R9" s="82" t="s">
        <v>333</v>
      </c>
      <c r="S9" s="82" t="str">
        <f t="shared" si="0"/>
        <v>System.Int64</v>
      </c>
      <c r="T9" s="82">
        <v>19</v>
      </c>
      <c r="U9" s="82">
        <v>8</v>
      </c>
      <c r="V9" s="82">
        <v>64</v>
      </c>
      <c r="W9" s="85" t="b">
        <v>1</v>
      </c>
      <c r="X9" s="82" t="s">
        <v>410</v>
      </c>
      <c r="Y9" s="82" t="str">
        <f t="shared" si="13"/>
        <v>f5ec1cadad5fcf3ead892febd6521fa9</v>
      </c>
      <c r="Z9" s="82" t="b">
        <f t="shared" si="14"/>
        <v>1</v>
      </c>
      <c r="AA9" s="82">
        <f t="shared" si="15"/>
        <v>32</v>
      </c>
      <c r="AB9" s="82" t="str">
        <f t="shared" si="16"/>
        <v>BCL_INTEGRAL_TYPEINFO_INT64</v>
      </c>
      <c r="AC9" s="82">
        <f t="shared" si="17"/>
        <v>6</v>
      </c>
      <c r="AD9" s="82" t="str">
        <f t="shared" si="18"/>
        <v>public const int BCL_INTEGRAL_TYPEINFO_INT64=6;</v>
      </c>
      <c r="AE9" s="82" t="str">
        <f t="shared" si="19"/>
        <v>new BCLIntegerTypeInfo ( "f5ec1cadad5fcf3ead892febd6521fa9",typeof(System.Int64),19,8,64,true ),</v>
      </c>
      <c r="AF9" s="82"/>
      <c r="AG9" s="82"/>
      <c r="AH9" s="82"/>
    </row>
    <row r="10" spans="1:34" ht="18" x14ac:dyDescent="0.25">
      <c r="AE10" s="81" t="str">
        <f>CONCATENATE("};  // ","s_a",LOWER(LEFT(R1,FIND(CHAR(32),R1)-1)))</f>
        <v>};  // s_abclintegertypeinfo</v>
      </c>
    </row>
    <row r="12" spans="1:34" ht="18" x14ac:dyDescent="0.25">
      <c r="A12" s="80" t="s">
        <v>394</v>
      </c>
      <c r="B12" s="83">
        <v>549755813887</v>
      </c>
      <c r="C12" s="82">
        <f t="shared" ref="C12" si="23">LEN(B12)</f>
        <v>12</v>
      </c>
    </row>
    <row r="13" spans="1:34" x14ac:dyDescent="0.25">
      <c r="A13" s="84" t="s">
        <v>395</v>
      </c>
    </row>
  </sheetData>
  <sortState ref="Q3:V9">
    <sortCondition ref="R3:R9"/>
    <sortCondition ref="Q3:Q9"/>
  </sortState>
  <mergeCells count="7">
    <mergeCell ref="X1:AA1"/>
    <mergeCell ref="AB1:AD1"/>
    <mergeCell ref="D1:E1"/>
    <mergeCell ref="B1:C1"/>
    <mergeCell ref="A1:A2"/>
    <mergeCell ref="P1:Q1"/>
    <mergeCell ref="R1:W1"/>
  </mergeCells>
  <hyperlinks>
    <hyperlink ref="A13" r:id="rId1"/>
  </hyperlinks>
  <pageMargins left="0.7" right="0.7" top="0.75" bottom="0.75" header="0.3" footer="0.3"/>
  <pageSetup orientation="portrait" horizontalDpi="0" verticalDpi="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H22"/>
  <sheetViews>
    <sheetView topLeftCell="D1" workbookViewId="0">
      <selection activeCell="F1" sqref="F1"/>
    </sheetView>
  </sheetViews>
  <sheetFormatPr defaultRowHeight="15" x14ac:dyDescent="0.25"/>
  <cols>
    <col min="1" max="1" width="25.25" bestFit="1" customWidth="1"/>
    <col min="2" max="2" width="52.125" bestFit="1" customWidth="1"/>
    <col min="3" max="3" width="14" bestFit="1" customWidth="1"/>
    <col min="4" max="4" width="29.875" bestFit="1" customWidth="1"/>
    <col min="5" max="5" width="28.25" bestFit="1" customWidth="1"/>
    <col min="6" max="6" width="18.875" bestFit="1" customWidth="1"/>
    <col min="7" max="7" width="11.625" bestFit="1" customWidth="1"/>
    <col min="8" max="8" width="37.75" bestFit="1" customWidth="1"/>
  </cols>
  <sheetData>
    <row r="1" spans="1:8" ht="18" x14ac:dyDescent="0.25">
      <c r="A1" s="86" t="s">
        <v>445</v>
      </c>
      <c r="B1" s="86" t="s">
        <v>446</v>
      </c>
      <c r="C1" s="86" t="s">
        <v>419</v>
      </c>
      <c r="D1" s="86" t="s">
        <v>420</v>
      </c>
      <c r="E1" s="86" t="s">
        <v>421</v>
      </c>
      <c r="F1" s="86" t="s">
        <v>422</v>
      </c>
      <c r="G1" s="86" t="s">
        <v>423</v>
      </c>
      <c r="H1" s="86" t="s">
        <v>428</v>
      </c>
    </row>
    <row r="2" spans="1:8" x14ac:dyDescent="0.25">
      <c r="A2" s="87" t="s">
        <v>447</v>
      </c>
      <c r="B2" s="87"/>
      <c r="C2" s="87"/>
      <c r="D2" s="87"/>
      <c r="E2" s="87"/>
      <c r="F2" s="87"/>
      <c r="G2" s="87"/>
      <c r="H2" s="87"/>
    </row>
    <row r="3" spans="1:8" x14ac:dyDescent="0.25">
      <c r="A3" s="87" t="s">
        <v>325</v>
      </c>
      <c r="B3" s="87" t="s">
        <v>438</v>
      </c>
      <c r="C3" s="87" t="s">
        <v>325</v>
      </c>
      <c r="D3" s="87">
        <v>3</v>
      </c>
      <c r="E3" s="87">
        <v>1</v>
      </c>
      <c r="F3" s="87">
        <v>8</v>
      </c>
      <c r="G3" s="87" t="b">
        <v>0</v>
      </c>
      <c r="H3" s="87" t="s">
        <v>429</v>
      </c>
    </row>
    <row r="4" spans="1:8" x14ac:dyDescent="0.25">
      <c r="A4" s="87" t="s">
        <v>326</v>
      </c>
      <c r="B4" s="87" t="s">
        <v>439</v>
      </c>
      <c r="C4" s="87" t="s">
        <v>326</v>
      </c>
      <c r="D4" s="87">
        <v>5</v>
      </c>
      <c r="E4" s="87">
        <v>2</v>
      </c>
      <c r="F4" s="87">
        <v>16</v>
      </c>
      <c r="G4" s="87" t="b">
        <v>1</v>
      </c>
      <c r="H4" s="87" t="s">
        <v>430</v>
      </c>
    </row>
    <row r="5" spans="1:8" x14ac:dyDescent="0.25">
      <c r="A5" s="87" t="s">
        <v>327</v>
      </c>
      <c r="B5" s="87" t="s">
        <v>440</v>
      </c>
      <c r="C5" s="87" t="s">
        <v>327</v>
      </c>
      <c r="D5" s="87">
        <v>5</v>
      </c>
      <c r="E5" s="87">
        <v>2</v>
      </c>
      <c r="F5" s="87">
        <v>16</v>
      </c>
      <c r="G5" s="87" t="b">
        <v>0</v>
      </c>
      <c r="H5" s="87" t="s">
        <v>431</v>
      </c>
    </row>
    <row r="6" spans="1:8" x14ac:dyDescent="0.25">
      <c r="A6" s="87" t="s">
        <v>326</v>
      </c>
      <c r="B6" s="87" t="s">
        <v>439</v>
      </c>
      <c r="C6" s="87" t="s">
        <v>326</v>
      </c>
      <c r="D6" s="87">
        <v>5</v>
      </c>
      <c r="E6" s="87">
        <v>2</v>
      </c>
      <c r="F6" s="87">
        <v>16</v>
      </c>
      <c r="G6" s="87" t="b">
        <v>1</v>
      </c>
      <c r="H6" s="87" t="s">
        <v>430</v>
      </c>
    </row>
    <row r="7" spans="1:8" x14ac:dyDescent="0.25">
      <c r="A7" s="87" t="s">
        <v>327</v>
      </c>
      <c r="B7" s="87" t="s">
        <v>440</v>
      </c>
      <c r="C7" s="87" t="s">
        <v>327</v>
      </c>
      <c r="D7" s="87">
        <v>5</v>
      </c>
      <c r="E7" s="87">
        <v>2</v>
      </c>
      <c r="F7" s="87">
        <v>16</v>
      </c>
      <c r="G7" s="87" t="b">
        <v>0</v>
      </c>
      <c r="H7" s="87" t="s">
        <v>431</v>
      </c>
    </row>
    <row r="8" spans="1:8" x14ac:dyDescent="0.25">
      <c r="A8" s="87" t="s">
        <v>330</v>
      </c>
      <c r="B8" s="87" t="s">
        <v>441</v>
      </c>
      <c r="C8" s="87" t="s">
        <v>330</v>
      </c>
      <c r="D8" s="87">
        <v>10</v>
      </c>
      <c r="E8" s="87">
        <v>4</v>
      </c>
      <c r="F8" s="87">
        <v>32</v>
      </c>
      <c r="G8" s="87" t="b">
        <v>1</v>
      </c>
      <c r="H8" s="87" t="s">
        <v>432</v>
      </c>
    </row>
    <row r="9" spans="1:8" x14ac:dyDescent="0.25">
      <c r="A9" s="87" t="s">
        <v>331</v>
      </c>
      <c r="B9" s="87" t="s">
        <v>442</v>
      </c>
      <c r="C9" s="87" t="s">
        <v>331</v>
      </c>
      <c r="D9" s="87">
        <v>10</v>
      </c>
      <c r="E9" s="87">
        <v>4</v>
      </c>
      <c r="F9" s="87">
        <v>32</v>
      </c>
      <c r="G9" s="87" t="b">
        <v>0</v>
      </c>
      <c r="H9" s="87" t="s">
        <v>433</v>
      </c>
    </row>
    <row r="10" spans="1:8" x14ac:dyDescent="0.25">
      <c r="A10" s="87" t="s">
        <v>330</v>
      </c>
      <c r="B10" s="87" t="s">
        <v>441</v>
      </c>
      <c r="C10" s="87" t="s">
        <v>330</v>
      </c>
      <c r="D10" s="87">
        <v>10</v>
      </c>
      <c r="E10" s="87">
        <v>4</v>
      </c>
      <c r="F10" s="87">
        <v>32</v>
      </c>
      <c r="G10" s="87" t="b">
        <v>1</v>
      </c>
      <c r="H10" s="87" t="s">
        <v>432</v>
      </c>
    </row>
    <row r="11" spans="1:8" x14ac:dyDescent="0.25">
      <c r="A11" s="87" t="s">
        <v>331</v>
      </c>
      <c r="B11" s="87" t="s">
        <v>442</v>
      </c>
      <c r="C11" s="87" t="s">
        <v>331</v>
      </c>
      <c r="D11" s="87">
        <v>10</v>
      </c>
      <c r="E11" s="87">
        <v>4</v>
      </c>
      <c r="F11" s="87">
        <v>32</v>
      </c>
      <c r="G11" s="87" t="b">
        <v>0</v>
      </c>
      <c r="H11" s="87" t="s">
        <v>433</v>
      </c>
    </row>
    <row r="12" spans="1:8" x14ac:dyDescent="0.25">
      <c r="A12" s="87" t="s">
        <v>436</v>
      </c>
      <c r="B12" s="87" t="s">
        <v>443</v>
      </c>
      <c r="C12" s="87" t="s">
        <v>436</v>
      </c>
      <c r="D12" s="87">
        <v>19</v>
      </c>
      <c r="E12" s="87">
        <v>8</v>
      </c>
      <c r="F12" s="87">
        <v>64</v>
      </c>
      <c r="G12" s="87" t="b">
        <v>1</v>
      </c>
      <c r="H12" s="87" t="s">
        <v>434</v>
      </c>
    </row>
    <row r="13" spans="1:8" x14ac:dyDescent="0.25">
      <c r="A13" s="87" t="s">
        <v>437</v>
      </c>
      <c r="B13" s="87" t="s">
        <v>444</v>
      </c>
      <c r="C13" s="87" t="s">
        <v>437</v>
      </c>
      <c r="D13" s="87">
        <v>20</v>
      </c>
      <c r="E13" s="87">
        <v>8</v>
      </c>
      <c r="F13" s="87">
        <v>64</v>
      </c>
      <c r="G13" s="87" t="b">
        <v>0</v>
      </c>
      <c r="H13" s="87" t="s">
        <v>435</v>
      </c>
    </row>
    <row r="14" spans="1:8" x14ac:dyDescent="0.25">
      <c r="A14" s="87" t="s">
        <v>436</v>
      </c>
      <c r="B14" s="87" t="s">
        <v>443</v>
      </c>
      <c r="C14" s="87" t="s">
        <v>436</v>
      </c>
      <c r="D14" s="87">
        <v>19</v>
      </c>
      <c r="E14" s="87">
        <v>8</v>
      </c>
      <c r="F14" s="87">
        <v>64</v>
      </c>
      <c r="G14" s="87" t="b">
        <v>1</v>
      </c>
      <c r="H14" s="87" t="s">
        <v>434</v>
      </c>
    </row>
    <row r="15" spans="1:8" x14ac:dyDescent="0.25">
      <c r="A15" s="87" t="s">
        <v>437</v>
      </c>
      <c r="B15" s="87" t="s">
        <v>444</v>
      </c>
      <c r="C15" s="87" t="s">
        <v>437</v>
      </c>
      <c r="D15" s="87">
        <v>20</v>
      </c>
      <c r="E15" s="87">
        <v>8</v>
      </c>
      <c r="F15" s="87">
        <v>64</v>
      </c>
      <c r="G15" s="87" t="b">
        <v>0</v>
      </c>
      <c r="H15" s="87" t="s">
        <v>435</v>
      </c>
    </row>
    <row r="16" spans="1:8" x14ac:dyDescent="0.25">
      <c r="A16" s="87" t="s">
        <v>325</v>
      </c>
      <c r="B16" s="87" t="s">
        <v>438</v>
      </c>
      <c r="C16" s="87" t="s">
        <v>325</v>
      </c>
      <c r="D16" s="87">
        <v>3</v>
      </c>
      <c r="E16" s="87">
        <v>1</v>
      </c>
      <c r="F16" s="87">
        <v>8</v>
      </c>
      <c r="G16" s="87" t="b">
        <v>0</v>
      </c>
      <c r="H16" s="87" t="s">
        <v>429</v>
      </c>
    </row>
    <row r="17" spans="1:8" x14ac:dyDescent="0.25">
      <c r="A17" s="87" t="s">
        <v>326</v>
      </c>
      <c r="B17" s="87" t="s">
        <v>439</v>
      </c>
      <c r="C17" s="87" t="s">
        <v>326</v>
      </c>
      <c r="D17" s="87">
        <v>5</v>
      </c>
      <c r="E17" s="87">
        <v>2</v>
      </c>
      <c r="F17" s="87">
        <v>16</v>
      </c>
      <c r="G17" s="87" t="b">
        <v>1</v>
      </c>
      <c r="H17" s="87" t="s">
        <v>430</v>
      </c>
    </row>
    <row r="18" spans="1:8" x14ac:dyDescent="0.25">
      <c r="A18" s="87" t="s">
        <v>327</v>
      </c>
      <c r="B18" s="87" t="s">
        <v>440</v>
      </c>
      <c r="C18" s="87" t="s">
        <v>327</v>
      </c>
      <c r="D18" s="87">
        <v>5</v>
      </c>
      <c r="E18" s="87">
        <v>2</v>
      </c>
      <c r="F18" s="87">
        <v>16</v>
      </c>
      <c r="G18" s="87" t="b">
        <v>0</v>
      </c>
      <c r="H18" s="87" t="s">
        <v>431</v>
      </c>
    </row>
    <row r="19" spans="1:8" x14ac:dyDescent="0.25">
      <c r="A19" s="87" t="s">
        <v>330</v>
      </c>
      <c r="B19" s="87" t="s">
        <v>441</v>
      </c>
      <c r="C19" s="87" t="s">
        <v>330</v>
      </c>
      <c r="D19" s="87">
        <v>10</v>
      </c>
      <c r="E19" s="87">
        <v>4</v>
      </c>
      <c r="F19" s="87">
        <v>32</v>
      </c>
      <c r="G19" s="87" t="b">
        <v>1</v>
      </c>
      <c r="H19" s="87" t="s">
        <v>432</v>
      </c>
    </row>
    <row r="20" spans="1:8" x14ac:dyDescent="0.25">
      <c r="A20" s="87" t="s">
        <v>331</v>
      </c>
      <c r="B20" s="87" t="s">
        <v>442</v>
      </c>
      <c r="C20" s="87" t="s">
        <v>331</v>
      </c>
      <c r="D20" s="87">
        <v>10</v>
      </c>
      <c r="E20" s="87">
        <v>4</v>
      </c>
      <c r="F20" s="87">
        <v>32</v>
      </c>
      <c r="G20" s="87" t="b">
        <v>0</v>
      </c>
      <c r="H20" s="87" t="s">
        <v>433</v>
      </c>
    </row>
    <row r="21" spans="1:8" x14ac:dyDescent="0.25">
      <c r="A21" s="87" t="s">
        <v>436</v>
      </c>
      <c r="B21" s="87" t="s">
        <v>443</v>
      </c>
      <c r="C21" s="87" t="s">
        <v>436</v>
      </c>
      <c r="D21" s="87">
        <v>19</v>
      </c>
      <c r="E21" s="87">
        <v>8</v>
      </c>
      <c r="F21" s="87">
        <v>64</v>
      </c>
      <c r="G21" s="87" t="b">
        <v>1</v>
      </c>
      <c r="H21" s="87" t="s">
        <v>434</v>
      </c>
    </row>
    <row r="22" spans="1:8" x14ac:dyDescent="0.25">
      <c r="A22" s="87" t="s">
        <v>437</v>
      </c>
      <c r="B22" s="87" t="s">
        <v>444</v>
      </c>
      <c r="C22" s="87" t="s">
        <v>437</v>
      </c>
      <c r="D22" s="87">
        <v>20</v>
      </c>
      <c r="E22" s="87">
        <v>8</v>
      </c>
      <c r="F22" s="87">
        <v>64</v>
      </c>
      <c r="G22" s="87" t="b">
        <v>0</v>
      </c>
      <c r="H22" s="87" t="s">
        <v>435</v>
      </c>
    </row>
  </sheetData>
  <conditionalFormatting sqref="A2">
    <cfRule type="expression" dxfId="30" priority="10">
      <formula>LEN(A2)=0</formula>
    </cfRule>
  </conditionalFormatting>
  <conditionalFormatting sqref="A3:A22">
    <cfRule type="expression" dxfId="29" priority="5">
      <formula>LEN(A3)=0</formula>
    </cfRule>
  </conditionalFormatting>
  <conditionalFormatting sqref="B2">
    <cfRule type="expression" dxfId="28" priority="4">
      <formula>LEN(B2)=0</formula>
    </cfRule>
  </conditionalFormatting>
  <conditionalFormatting sqref="B3:B22">
    <cfRule type="expression" dxfId="27" priority="3">
      <formula>LEN(B3)=0</formula>
    </cfRule>
  </conditionalFormatting>
  <conditionalFormatting sqref="C2:H2">
    <cfRule type="expression" dxfId="26" priority="2">
      <formula>LEN(C2)=0</formula>
    </cfRule>
  </conditionalFormatting>
  <conditionalFormatting sqref="C3:H22">
    <cfRule type="expression" dxfId="25" priority="1">
      <formula>LEN(C3)=0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G6"/>
  <sheetViews>
    <sheetView workbookViewId="0">
      <pane xSplit="4" ySplit="2" topLeftCell="E3" activePane="bottomRight" state="frozen"/>
      <selection pane="topRight" activeCell="D1" sqref="D1"/>
      <selection pane="bottomLeft" activeCell="A2" sqref="A2"/>
      <selection pane="bottomRight" activeCell="F6" sqref="F6"/>
    </sheetView>
  </sheetViews>
  <sheetFormatPr defaultRowHeight="15" x14ac:dyDescent="0.25"/>
  <cols>
    <col min="1" max="1" width="9.5" style="90" bestFit="1" customWidth="1"/>
    <col min="2" max="2" width="5.625" style="90" customWidth="1"/>
    <col min="3" max="3" width="58.375" style="90" bestFit="1" customWidth="1"/>
    <col min="4" max="4" width="8.125" style="90" customWidth="1"/>
    <col min="5" max="5" width="14.125" style="90" bestFit="1" customWidth="1"/>
    <col min="6" max="6" width="23.125" style="90" bestFit="1" customWidth="1"/>
    <col min="7" max="7" width="54" style="90" bestFit="1" customWidth="1"/>
    <col min="8" max="16384" width="9" style="90"/>
  </cols>
  <sheetData>
    <row r="1" spans="1:7" ht="22.5" x14ac:dyDescent="0.25">
      <c r="A1" s="112" t="s">
        <v>480</v>
      </c>
      <c r="B1" s="114"/>
      <c r="C1" s="114"/>
      <c r="D1" s="113"/>
      <c r="E1" s="112" t="s">
        <v>479</v>
      </c>
      <c r="F1" s="113"/>
      <c r="G1" s="115" t="s">
        <v>478</v>
      </c>
    </row>
    <row r="2" spans="1:7" x14ac:dyDescent="0.25">
      <c r="A2" s="95" t="s">
        <v>477</v>
      </c>
      <c r="B2" s="95" t="s">
        <v>272</v>
      </c>
      <c r="C2" s="95" t="s">
        <v>273</v>
      </c>
      <c r="D2" s="95" t="s">
        <v>274</v>
      </c>
      <c r="E2" s="95" t="s">
        <v>476</v>
      </c>
      <c r="F2" s="95" t="s">
        <v>475</v>
      </c>
      <c r="G2" s="116"/>
    </row>
    <row r="3" spans="1:7" ht="38.25" x14ac:dyDescent="0.25">
      <c r="A3" s="94" t="s">
        <v>473</v>
      </c>
      <c r="B3" s="93" t="s">
        <v>275</v>
      </c>
      <c r="C3" s="96" t="s">
        <v>483</v>
      </c>
      <c r="D3" s="92">
        <f>IF(LEN(C3)&gt;0,LEN(C3),"")</f>
        <v>64</v>
      </c>
      <c r="E3" s="92" t="s">
        <v>279</v>
      </c>
      <c r="F3" s="92" t="str">
        <f>CONCATENATE(E3,"_",UPPER(A3))</f>
        <v>BIT_RULER_TENS_LOWTOHIGH</v>
      </c>
      <c r="G3" s="91" t="s">
        <v>474</v>
      </c>
    </row>
    <row r="4" spans="1:7" ht="38.25" x14ac:dyDescent="0.25">
      <c r="A4" s="94" t="s">
        <v>473</v>
      </c>
      <c r="B4" s="93" t="s">
        <v>276</v>
      </c>
      <c r="C4" s="96" t="s">
        <v>481</v>
      </c>
      <c r="D4" s="92">
        <f>IF(LEN(C4)&gt;0,LEN(C4),"")</f>
        <v>64</v>
      </c>
      <c r="E4" s="92" t="s">
        <v>280</v>
      </c>
      <c r="F4" s="92" t="str">
        <f>CONCATENATE(E4,"_",UPPER(A4))</f>
        <v>BIT_RULER_UNITS_LOWTOHIGH</v>
      </c>
      <c r="G4" s="91" t="s">
        <v>472</v>
      </c>
    </row>
    <row r="5" spans="1:7" ht="38.25" x14ac:dyDescent="0.25">
      <c r="A5" s="94" t="s">
        <v>470</v>
      </c>
      <c r="B5" s="93" t="s">
        <v>275</v>
      </c>
      <c r="C5" s="96" t="s">
        <v>484</v>
      </c>
      <c r="D5" s="92">
        <f>IF(LEN(C5)&gt;0,LEN(C5),"")</f>
        <v>64</v>
      </c>
      <c r="E5" s="92"/>
      <c r="F5" s="92" t="str">
        <f>CONCATENATE(E3,"_",UPPER(A5))</f>
        <v>BIT_RULER_TENS_HIGHTOLOW</v>
      </c>
      <c r="G5" s="91" t="s">
        <v>471</v>
      </c>
    </row>
    <row r="6" spans="1:7" ht="38.25" x14ac:dyDescent="0.25">
      <c r="A6" s="94" t="s">
        <v>470</v>
      </c>
      <c r="B6" s="93" t="s">
        <v>276</v>
      </c>
      <c r="C6" s="96" t="s">
        <v>482</v>
      </c>
      <c r="D6" s="92">
        <f>IF(LEN(C6)&gt;0,LEN(C6),"")</f>
        <v>64</v>
      </c>
      <c r="E6" s="92"/>
      <c r="F6" s="92" t="str">
        <f>CONCATENATE(E4,"_",UPPER(A6))</f>
        <v>BIT_RULER_UNITS_HIGHTOLOW</v>
      </c>
      <c r="G6" s="91" t="s">
        <v>469</v>
      </c>
    </row>
  </sheetData>
  <mergeCells count="3">
    <mergeCell ref="E1:F1"/>
    <mergeCell ref="A1:D1"/>
    <mergeCell ref="G1:G2"/>
  </mergeCells>
  <conditionalFormatting sqref="A3:A6">
    <cfRule type="expression" dxfId="24" priority="7">
      <formula>LEN(A3)=0</formula>
    </cfRule>
  </conditionalFormatting>
  <conditionalFormatting sqref="B3:B6">
    <cfRule type="expression" dxfId="23" priority="6">
      <formula>LEN(B3)=0</formula>
    </cfRule>
  </conditionalFormatting>
  <conditionalFormatting sqref="C3:C6">
    <cfRule type="expression" dxfId="22" priority="5">
      <formula>LEN(C3)=0</formula>
    </cfRule>
  </conditionalFormatting>
  <conditionalFormatting sqref="D3:D6">
    <cfRule type="expression" dxfId="21" priority="4">
      <formula>LEN(D3)=0</formula>
    </cfRule>
  </conditionalFormatting>
  <conditionalFormatting sqref="E3:E6">
    <cfRule type="expression" dxfId="20" priority="3">
      <formula>LEN(E3)=0</formula>
    </cfRule>
  </conditionalFormatting>
  <conditionalFormatting sqref="F3:F6">
    <cfRule type="expression" dxfId="19" priority="2">
      <formula>LEN(F3)=0</formula>
    </cfRule>
  </conditionalFormatting>
  <conditionalFormatting sqref="G3:G6">
    <cfRule type="expression" dxfId="18" priority="1">
      <formula>LEN(G3)=0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I21"/>
  <sheetViews>
    <sheetView workbookViewId="0">
      <selection activeCell="H3" sqref="H3:H19"/>
    </sheetView>
  </sheetViews>
  <sheetFormatPr defaultRowHeight="15" x14ac:dyDescent="0.25"/>
  <cols>
    <col min="1" max="1" width="64.5" bestFit="1" customWidth="1"/>
    <col min="2" max="2" width="9.875" bestFit="1" customWidth="1"/>
    <col min="3" max="3" width="6.625" bestFit="1" customWidth="1"/>
    <col min="4" max="4" width="6.25" bestFit="1" customWidth="1"/>
    <col min="5" max="6" width="5.75" bestFit="1" customWidth="1"/>
    <col min="7" max="7" width="16.75" bestFit="1" customWidth="1"/>
    <col min="8" max="8" width="19.625" bestFit="1" customWidth="1"/>
  </cols>
  <sheetData>
    <row r="1" spans="1:9" ht="18" x14ac:dyDescent="0.25">
      <c r="A1" s="88" t="s">
        <v>448</v>
      </c>
      <c r="B1" s="88" t="s">
        <v>322</v>
      </c>
      <c r="C1" s="88" t="s">
        <v>466</v>
      </c>
      <c r="D1" s="88" t="s">
        <v>8</v>
      </c>
      <c r="E1" s="88" t="s">
        <v>7</v>
      </c>
      <c r="F1" s="88" t="s">
        <v>401</v>
      </c>
      <c r="G1" s="88" t="s">
        <v>467</v>
      </c>
      <c r="H1" s="88" t="s">
        <v>468</v>
      </c>
      <c r="I1" s="88"/>
    </row>
    <row r="2" spans="1:9" x14ac:dyDescent="0.25">
      <c r="A2" s="89"/>
      <c r="B2" s="89" t="str">
        <f>IF(LEN(A2)&gt;0,INT(MID(A2,19,2)),"")</f>
        <v/>
      </c>
      <c r="C2" s="89" t="str">
        <f>IF(LEN(A2)&gt;0,MID(A2,24,1),"")</f>
        <v/>
      </c>
      <c r="D2" s="89" t="str">
        <f>IF(LEN(A2)&gt;0,INT(MID(A2,43,3)),"")</f>
        <v/>
      </c>
      <c r="E2" s="89" t="str">
        <f>IF(LEN(A2)&gt;0,MID(A2,54,4),"")</f>
        <v/>
      </c>
      <c r="F2" s="89" t="str">
        <f>IF(LEN(B2)&gt;0,DEC2BIN(B2-1,4),"")</f>
        <v/>
      </c>
      <c r="G2" s="89" t="str">
        <f>IF(LEN(F2)&gt;0,CONCATENATE(CHAR(34),F2,CHAR(34),","),"")</f>
        <v/>
      </c>
      <c r="H2" s="89" t="str">
        <f>IF(LEN(F2)&gt;0,CONCATENATE(CHAR(39),C2,CHAR(39),","),"")</f>
        <v/>
      </c>
      <c r="I2" s="89"/>
    </row>
    <row r="3" spans="1:9" x14ac:dyDescent="0.25">
      <c r="A3" s="89" t="s">
        <v>449</v>
      </c>
      <c r="B3" s="89">
        <f>IF(LEN(A3)&gt;0,INT(MID(A3,19,2)),"")</f>
        <v>1</v>
      </c>
      <c r="C3" s="89" t="str">
        <f>IF(LEN(A3)&gt;0,MID(A3,24,1),"")</f>
        <v>0</v>
      </c>
      <c r="D3" s="89">
        <f>IF(LEN(A3)&gt;0,INT(MID(A3,43,3)),"")</f>
        <v>48</v>
      </c>
      <c r="E3" s="89" t="str">
        <f>IF(LEN(A3)&gt;0,MID(A3,54,4),"")</f>
        <v>0x30</v>
      </c>
      <c r="F3" s="89" t="str">
        <f t="shared" ref="F3:F21" si="0">IF(LEN(B3)&gt;0,DEC2BIN(B3-1,4),"")</f>
        <v>0000</v>
      </c>
      <c r="G3" s="89" t="str">
        <f>IF(LEN(F3)&gt;0,CONCATENATE(CHAR(34),F3,CHAR(34),","),"")</f>
        <v>"0000",</v>
      </c>
      <c r="H3" s="89" t="str">
        <f t="shared" ref="H3:H21" si="1">IF(LEN(F3)&gt;0,CONCATENATE(CHAR(39),C3,CHAR(39),","),"")</f>
        <v>'0',</v>
      </c>
      <c r="I3" s="89"/>
    </row>
    <row r="4" spans="1:9" x14ac:dyDescent="0.25">
      <c r="A4" s="89" t="s">
        <v>450</v>
      </c>
      <c r="B4" s="89">
        <f t="shared" ref="B4:B20" si="2">IF(LEN(A4)&gt;0,INT(MID(A4,19,2)),"")</f>
        <v>2</v>
      </c>
      <c r="C4" s="89" t="str">
        <f t="shared" ref="C4:C20" si="3">IF(LEN(A4)&gt;0,MID(A4,24,1),"")</f>
        <v>1</v>
      </c>
      <c r="D4" s="89">
        <f t="shared" ref="D4:D20" si="4">IF(LEN(A4)&gt;0,INT(MID(A4,43,3)),"")</f>
        <v>49</v>
      </c>
      <c r="E4" s="89" t="str">
        <f t="shared" ref="E4:E20" si="5">IF(LEN(A4)&gt;0,MID(A4,54,4),"")</f>
        <v>0x31</v>
      </c>
      <c r="F4" s="89" t="str">
        <f t="shared" si="0"/>
        <v>0001</v>
      </c>
      <c r="G4" s="89" t="str">
        <f t="shared" ref="G4:G21" si="6">IF(LEN(F4)&gt;0,CONCATENATE(CHAR(34),F4,CHAR(34),","),"")</f>
        <v>"0001",</v>
      </c>
      <c r="H4" s="89" t="str">
        <f t="shared" si="1"/>
        <v>'1',</v>
      </c>
      <c r="I4" s="89"/>
    </row>
    <row r="5" spans="1:9" x14ac:dyDescent="0.25">
      <c r="A5" s="89" t="s">
        <v>451</v>
      </c>
      <c r="B5" s="89">
        <f t="shared" si="2"/>
        <v>3</v>
      </c>
      <c r="C5" s="89" t="str">
        <f t="shared" si="3"/>
        <v>2</v>
      </c>
      <c r="D5" s="89">
        <f t="shared" si="4"/>
        <v>50</v>
      </c>
      <c r="E5" s="89" t="str">
        <f t="shared" si="5"/>
        <v>0x32</v>
      </c>
      <c r="F5" s="89" t="str">
        <f t="shared" si="0"/>
        <v>0010</v>
      </c>
      <c r="G5" s="89" t="str">
        <f t="shared" si="6"/>
        <v>"0010",</v>
      </c>
      <c r="H5" s="89" t="str">
        <f t="shared" si="1"/>
        <v>'2',</v>
      </c>
      <c r="I5" s="89"/>
    </row>
    <row r="6" spans="1:9" x14ac:dyDescent="0.25">
      <c r="A6" s="89" t="s">
        <v>452</v>
      </c>
      <c r="B6" s="89">
        <f t="shared" si="2"/>
        <v>4</v>
      </c>
      <c r="C6" s="89" t="str">
        <f t="shared" si="3"/>
        <v>3</v>
      </c>
      <c r="D6" s="89">
        <f t="shared" si="4"/>
        <v>51</v>
      </c>
      <c r="E6" s="89" t="str">
        <f t="shared" si="5"/>
        <v>0x33</v>
      </c>
      <c r="F6" s="89" t="str">
        <f t="shared" si="0"/>
        <v>0011</v>
      </c>
      <c r="G6" s="89" t="str">
        <f t="shared" si="6"/>
        <v>"0011",</v>
      </c>
      <c r="H6" s="89" t="str">
        <f t="shared" si="1"/>
        <v>'3',</v>
      </c>
      <c r="I6" s="89"/>
    </row>
    <row r="7" spans="1:9" x14ac:dyDescent="0.25">
      <c r="A7" s="89" t="s">
        <v>453</v>
      </c>
      <c r="B7" s="89">
        <f t="shared" si="2"/>
        <v>5</v>
      </c>
      <c r="C7" s="89" t="str">
        <f t="shared" si="3"/>
        <v>4</v>
      </c>
      <c r="D7" s="89">
        <f t="shared" si="4"/>
        <v>52</v>
      </c>
      <c r="E7" s="89" t="str">
        <f t="shared" si="5"/>
        <v>0x34</v>
      </c>
      <c r="F7" s="89" t="str">
        <f t="shared" si="0"/>
        <v>0100</v>
      </c>
      <c r="G7" s="89" t="str">
        <f t="shared" si="6"/>
        <v>"0100",</v>
      </c>
      <c r="H7" s="89" t="str">
        <f t="shared" si="1"/>
        <v>'4',</v>
      </c>
      <c r="I7" s="89"/>
    </row>
    <row r="8" spans="1:9" x14ac:dyDescent="0.25">
      <c r="A8" s="89" t="s">
        <v>454</v>
      </c>
      <c r="B8" s="89">
        <f t="shared" si="2"/>
        <v>6</v>
      </c>
      <c r="C8" s="89" t="str">
        <f t="shared" si="3"/>
        <v>5</v>
      </c>
      <c r="D8" s="89">
        <f t="shared" si="4"/>
        <v>53</v>
      </c>
      <c r="E8" s="89" t="str">
        <f t="shared" si="5"/>
        <v>0x35</v>
      </c>
      <c r="F8" s="89" t="str">
        <f t="shared" si="0"/>
        <v>0101</v>
      </c>
      <c r="G8" s="89" t="str">
        <f t="shared" si="6"/>
        <v>"0101",</v>
      </c>
      <c r="H8" s="89" t="str">
        <f t="shared" si="1"/>
        <v>'5',</v>
      </c>
      <c r="I8" s="89"/>
    </row>
    <row r="9" spans="1:9" x14ac:dyDescent="0.25">
      <c r="A9" s="89" t="s">
        <v>455</v>
      </c>
      <c r="B9" s="89">
        <f t="shared" si="2"/>
        <v>7</v>
      </c>
      <c r="C9" s="89" t="str">
        <f t="shared" si="3"/>
        <v>6</v>
      </c>
      <c r="D9" s="89">
        <f t="shared" si="4"/>
        <v>54</v>
      </c>
      <c r="E9" s="89" t="str">
        <f t="shared" si="5"/>
        <v>0x36</v>
      </c>
      <c r="F9" s="89" t="str">
        <f t="shared" si="0"/>
        <v>0110</v>
      </c>
      <c r="G9" s="89" t="str">
        <f t="shared" si="6"/>
        <v>"0110",</v>
      </c>
      <c r="H9" s="89" t="str">
        <f t="shared" si="1"/>
        <v>'6',</v>
      </c>
      <c r="I9" s="89"/>
    </row>
    <row r="10" spans="1:9" x14ac:dyDescent="0.25">
      <c r="A10" s="89" t="s">
        <v>456</v>
      </c>
      <c r="B10" s="89">
        <f t="shared" si="2"/>
        <v>8</v>
      </c>
      <c r="C10" s="89" t="str">
        <f t="shared" si="3"/>
        <v>7</v>
      </c>
      <c r="D10" s="89">
        <f t="shared" si="4"/>
        <v>55</v>
      </c>
      <c r="E10" s="89" t="str">
        <f t="shared" si="5"/>
        <v>0x37</v>
      </c>
      <c r="F10" s="89" t="str">
        <f t="shared" si="0"/>
        <v>0111</v>
      </c>
      <c r="G10" s="89" t="str">
        <f t="shared" si="6"/>
        <v>"0111",</v>
      </c>
      <c r="H10" s="89" t="str">
        <f t="shared" si="1"/>
        <v>'7',</v>
      </c>
      <c r="I10" s="89"/>
    </row>
    <row r="11" spans="1:9" x14ac:dyDescent="0.25">
      <c r="A11" s="89" t="s">
        <v>457</v>
      </c>
      <c r="B11" s="89">
        <f t="shared" si="2"/>
        <v>9</v>
      </c>
      <c r="C11" s="89" t="str">
        <f t="shared" si="3"/>
        <v>8</v>
      </c>
      <c r="D11" s="89">
        <f t="shared" si="4"/>
        <v>56</v>
      </c>
      <c r="E11" s="89" t="str">
        <f t="shared" si="5"/>
        <v>0x38</v>
      </c>
      <c r="F11" s="89" t="str">
        <f t="shared" si="0"/>
        <v>1000</v>
      </c>
      <c r="G11" s="89" t="str">
        <f t="shared" si="6"/>
        <v>"1000",</v>
      </c>
      <c r="H11" s="89" t="str">
        <f t="shared" si="1"/>
        <v>'8',</v>
      </c>
      <c r="I11" s="89"/>
    </row>
    <row r="12" spans="1:9" x14ac:dyDescent="0.25">
      <c r="A12" s="89" t="s">
        <v>458</v>
      </c>
      <c r="B12" s="89">
        <f t="shared" si="2"/>
        <v>10</v>
      </c>
      <c r="C12" s="89" t="str">
        <f t="shared" si="3"/>
        <v>9</v>
      </c>
      <c r="D12" s="89">
        <f t="shared" si="4"/>
        <v>57</v>
      </c>
      <c r="E12" s="89" t="str">
        <f t="shared" si="5"/>
        <v>0x39</v>
      </c>
      <c r="F12" s="89" t="str">
        <f t="shared" si="0"/>
        <v>1001</v>
      </c>
      <c r="G12" s="89" t="str">
        <f t="shared" si="6"/>
        <v>"1001",</v>
      </c>
      <c r="H12" s="89" t="str">
        <f t="shared" si="1"/>
        <v>'9',</v>
      </c>
      <c r="I12" s="89"/>
    </row>
    <row r="13" spans="1:9" x14ac:dyDescent="0.25">
      <c r="A13" s="89"/>
      <c r="B13" s="89" t="str">
        <f t="shared" si="2"/>
        <v/>
      </c>
      <c r="C13" s="89" t="str">
        <f t="shared" si="3"/>
        <v/>
      </c>
      <c r="D13" s="89" t="str">
        <f t="shared" si="4"/>
        <v/>
      </c>
      <c r="E13" s="89" t="str">
        <f t="shared" si="5"/>
        <v/>
      </c>
      <c r="F13" s="89" t="str">
        <f t="shared" si="0"/>
        <v/>
      </c>
      <c r="G13" s="89" t="str">
        <f t="shared" si="6"/>
        <v/>
      </c>
      <c r="H13" s="89" t="str">
        <f t="shared" si="1"/>
        <v/>
      </c>
      <c r="I13" s="89"/>
    </row>
    <row r="14" spans="1:9" x14ac:dyDescent="0.25">
      <c r="A14" s="89" t="s">
        <v>459</v>
      </c>
      <c r="B14" s="89">
        <f t="shared" si="2"/>
        <v>11</v>
      </c>
      <c r="C14" s="89" t="str">
        <f t="shared" si="3"/>
        <v>a</v>
      </c>
      <c r="D14" s="89">
        <f t="shared" si="4"/>
        <v>97</v>
      </c>
      <c r="E14" s="89" t="str">
        <f t="shared" si="5"/>
        <v>0x61</v>
      </c>
      <c r="F14" s="89" t="str">
        <f t="shared" si="0"/>
        <v>1010</v>
      </c>
      <c r="G14" s="89" t="str">
        <f t="shared" si="6"/>
        <v>"1010",</v>
      </c>
      <c r="H14" s="89" t="str">
        <f t="shared" si="1"/>
        <v>'a',</v>
      </c>
      <c r="I14" s="89"/>
    </row>
    <row r="15" spans="1:9" x14ac:dyDescent="0.25">
      <c r="A15" s="89" t="s">
        <v>460</v>
      </c>
      <c r="B15" s="89">
        <f t="shared" si="2"/>
        <v>12</v>
      </c>
      <c r="C15" s="89" t="str">
        <f t="shared" si="3"/>
        <v>b</v>
      </c>
      <c r="D15" s="89">
        <f t="shared" si="4"/>
        <v>98</v>
      </c>
      <c r="E15" s="89" t="str">
        <f t="shared" si="5"/>
        <v>0x62</v>
      </c>
      <c r="F15" s="89" t="str">
        <f t="shared" si="0"/>
        <v>1011</v>
      </c>
      <c r="G15" s="89" t="str">
        <f t="shared" si="6"/>
        <v>"1011",</v>
      </c>
      <c r="H15" s="89" t="str">
        <f t="shared" si="1"/>
        <v>'b',</v>
      </c>
      <c r="I15" s="89"/>
    </row>
    <row r="16" spans="1:9" x14ac:dyDescent="0.25">
      <c r="A16" s="89" t="s">
        <v>461</v>
      </c>
      <c r="B16" s="89">
        <f t="shared" si="2"/>
        <v>13</v>
      </c>
      <c r="C16" s="89" t="str">
        <f t="shared" si="3"/>
        <v>c</v>
      </c>
      <c r="D16" s="89">
        <f t="shared" si="4"/>
        <v>99</v>
      </c>
      <c r="E16" s="89" t="str">
        <f t="shared" si="5"/>
        <v>0x63</v>
      </c>
      <c r="F16" s="89" t="str">
        <f t="shared" si="0"/>
        <v>1100</v>
      </c>
      <c r="G16" s="89" t="str">
        <f t="shared" si="6"/>
        <v>"1100",</v>
      </c>
      <c r="H16" s="89" t="str">
        <f t="shared" si="1"/>
        <v>'c',</v>
      </c>
      <c r="I16" s="89"/>
    </row>
    <row r="17" spans="1:9" x14ac:dyDescent="0.25">
      <c r="A17" s="89" t="s">
        <v>462</v>
      </c>
      <c r="B17" s="89">
        <f t="shared" si="2"/>
        <v>14</v>
      </c>
      <c r="C17" s="89" t="str">
        <f t="shared" si="3"/>
        <v>d</v>
      </c>
      <c r="D17" s="89">
        <f t="shared" si="4"/>
        <v>100</v>
      </c>
      <c r="E17" s="89" t="str">
        <f t="shared" si="5"/>
        <v>0x64</v>
      </c>
      <c r="F17" s="89" t="str">
        <f t="shared" si="0"/>
        <v>1101</v>
      </c>
      <c r="G17" s="89" t="str">
        <f t="shared" si="6"/>
        <v>"1101",</v>
      </c>
      <c r="H17" s="89" t="str">
        <f t="shared" si="1"/>
        <v>'d',</v>
      </c>
      <c r="I17" s="89"/>
    </row>
    <row r="18" spans="1:9" x14ac:dyDescent="0.25">
      <c r="A18" s="89" t="s">
        <v>463</v>
      </c>
      <c r="B18" s="89">
        <f t="shared" si="2"/>
        <v>15</v>
      </c>
      <c r="C18" s="89" t="str">
        <f t="shared" si="3"/>
        <v>e</v>
      </c>
      <c r="D18" s="89">
        <f t="shared" si="4"/>
        <v>101</v>
      </c>
      <c r="E18" s="89" t="str">
        <f t="shared" si="5"/>
        <v>0x65</v>
      </c>
      <c r="F18" s="89" t="str">
        <f t="shared" si="0"/>
        <v>1110</v>
      </c>
      <c r="G18" s="89" t="str">
        <f t="shared" si="6"/>
        <v>"1110",</v>
      </c>
      <c r="H18" s="89" t="str">
        <f t="shared" si="1"/>
        <v>'e',</v>
      </c>
      <c r="I18" s="89"/>
    </row>
    <row r="19" spans="1:9" x14ac:dyDescent="0.25">
      <c r="A19" s="89" t="s">
        <v>464</v>
      </c>
      <c r="B19" s="89">
        <f t="shared" si="2"/>
        <v>16</v>
      </c>
      <c r="C19" s="89" t="str">
        <f t="shared" si="3"/>
        <v>f</v>
      </c>
      <c r="D19" s="89">
        <f t="shared" si="4"/>
        <v>102</v>
      </c>
      <c r="E19" s="89" t="str">
        <f t="shared" si="5"/>
        <v>0x66</v>
      </c>
      <c r="F19" s="89" t="str">
        <f t="shared" si="0"/>
        <v>1111</v>
      </c>
      <c r="G19" s="89" t="str">
        <f t="shared" si="6"/>
        <v>"1111",</v>
      </c>
      <c r="H19" s="89" t="str">
        <f t="shared" si="1"/>
        <v>'f',</v>
      </c>
      <c r="I19" s="89"/>
    </row>
    <row r="20" spans="1:9" x14ac:dyDescent="0.25">
      <c r="A20" s="89"/>
      <c r="B20" s="89" t="str">
        <f t="shared" si="2"/>
        <v/>
      </c>
      <c r="C20" s="89" t="str">
        <f t="shared" si="3"/>
        <v/>
      </c>
      <c r="D20" s="89" t="str">
        <f t="shared" si="4"/>
        <v/>
      </c>
      <c r="E20" s="89" t="str">
        <f t="shared" si="5"/>
        <v/>
      </c>
      <c r="F20" s="89" t="str">
        <f t="shared" si="0"/>
        <v/>
      </c>
      <c r="G20" s="89" t="str">
        <f t="shared" si="6"/>
        <v/>
      </c>
      <c r="H20" s="89" t="str">
        <f t="shared" si="1"/>
        <v/>
      </c>
      <c r="I20" s="89"/>
    </row>
    <row r="21" spans="1:9" x14ac:dyDescent="0.25">
      <c r="A21" s="89" t="s">
        <v>465</v>
      </c>
      <c r="B21" s="89"/>
      <c r="C21" s="89"/>
      <c r="D21" s="89"/>
      <c r="E21" s="89"/>
      <c r="F21" s="89" t="str">
        <f t="shared" si="0"/>
        <v/>
      </c>
      <c r="G21" s="89" t="str">
        <f t="shared" si="6"/>
        <v/>
      </c>
      <c r="H21" s="89" t="str">
        <f t="shared" si="1"/>
        <v/>
      </c>
      <c r="I21" s="89"/>
    </row>
  </sheetData>
  <conditionalFormatting sqref="A2">
    <cfRule type="expression" dxfId="17" priority="23">
      <formula>LEN(A2)=0</formula>
    </cfRule>
  </conditionalFormatting>
  <conditionalFormatting sqref="A3:A21">
    <cfRule type="expression" dxfId="16" priority="22">
      <formula>LEN(A3)=0</formula>
    </cfRule>
  </conditionalFormatting>
  <conditionalFormatting sqref="B2">
    <cfRule type="expression" dxfId="15" priority="21">
      <formula>LEN(B2)=0</formula>
    </cfRule>
  </conditionalFormatting>
  <conditionalFormatting sqref="B3:B21">
    <cfRule type="expression" dxfId="14" priority="20">
      <formula>LEN(B3)=0</formula>
    </cfRule>
  </conditionalFormatting>
  <conditionalFormatting sqref="C2">
    <cfRule type="expression" dxfId="13" priority="19">
      <formula>LEN(C2)=0</formula>
    </cfRule>
  </conditionalFormatting>
  <conditionalFormatting sqref="C3:C21">
    <cfRule type="expression" dxfId="12" priority="18">
      <formula>LEN(C3)=0</formula>
    </cfRule>
  </conditionalFormatting>
  <conditionalFormatting sqref="D2">
    <cfRule type="expression" dxfId="11" priority="17">
      <formula>LEN(D2)=0</formula>
    </cfRule>
  </conditionalFormatting>
  <conditionalFormatting sqref="D3:D21">
    <cfRule type="expression" dxfId="10" priority="16">
      <formula>LEN(D3)=0</formula>
    </cfRule>
  </conditionalFormatting>
  <conditionalFormatting sqref="E2">
    <cfRule type="expression" dxfId="9" priority="15">
      <formula>LEN(E2)=0</formula>
    </cfRule>
  </conditionalFormatting>
  <conditionalFormatting sqref="E3:E21">
    <cfRule type="expression" dxfId="8" priority="14">
      <formula>LEN(E3)=0</formula>
    </cfRule>
  </conditionalFormatting>
  <conditionalFormatting sqref="G3:G21">
    <cfRule type="expression" dxfId="7" priority="10">
      <formula>LEN(G3)=0</formula>
    </cfRule>
  </conditionalFormatting>
  <conditionalFormatting sqref="H2">
    <cfRule type="expression" dxfId="6" priority="9">
      <formula>LEN(H2)=0</formula>
    </cfRule>
  </conditionalFormatting>
  <conditionalFormatting sqref="I2">
    <cfRule type="expression" dxfId="5" priority="7">
      <formula>LEN(I2)=0</formula>
    </cfRule>
  </conditionalFormatting>
  <conditionalFormatting sqref="I3:I21">
    <cfRule type="expression" dxfId="4" priority="6">
      <formula>LEN(I3)=0</formula>
    </cfRule>
  </conditionalFormatting>
  <conditionalFormatting sqref="F2">
    <cfRule type="expression" dxfId="3" priority="4">
      <formula>LEN(F2)=0</formula>
    </cfRule>
  </conditionalFormatting>
  <conditionalFormatting sqref="F3:F21">
    <cfRule type="expression" dxfId="2" priority="3">
      <formula>LEN(F3)=0</formula>
    </cfRule>
  </conditionalFormatting>
  <conditionalFormatting sqref="G2">
    <cfRule type="expression" dxfId="1" priority="2">
      <formula>LEN(G2)=0</formula>
    </cfRule>
  </conditionalFormatting>
  <conditionalFormatting sqref="H3:H21">
    <cfRule type="expression" dxfId="0" priority="1">
      <formula>LEN(H3)=0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D3" sqref="D3:D7"/>
    </sheetView>
  </sheetViews>
  <sheetFormatPr defaultRowHeight="15" x14ac:dyDescent="0.25"/>
  <cols>
    <col min="2" max="2" width="34.625" bestFit="1" customWidth="1"/>
    <col min="4" max="4" width="26.375" bestFit="1" customWidth="1"/>
    <col min="5" max="5" width="11.875" bestFit="1" customWidth="1"/>
  </cols>
  <sheetData>
    <row r="1" spans="1:5" x14ac:dyDescent="0.25">
      <c r="A1" t="s">
        <v>485</v>
      </c>
    </row>
    <row r="2" spans="1:5" x14ac:dyDescent="0.25">
      <c r="A2" t="s">
        <v>486</v>
      </c>
      <c r="B2" t="s">
        <v>494</v>
      </c>
      <c r="C2" t="s">
        <v>177</v>
      </c>
      <c r="D2" s="117" t="s">
        <v>495</v>
      </c>
      <c r="E2" t="s">
        <v>189</v>
      </c>
    </row>
    <row r="3" spans="1:5" x14ac:dyDescent="0.25">
      <c r="B3" t="s">
        <v>487</v>
      </c>
      <c r="C3">
        <v>0</v>
      </c>
      <c r="D3" s="25">
        <v>0</v>
      </c>
      <c r="E3" t="str">
        <f>CONCATENATE("0x",DEC2HEX(D3,2))</f>
        <v>0x00</v>
      </c>
    </row>
    <row r="4" spans="1:5" x14ac:dyDescent="0.25">
      <c r="B4" t="s">
        <v>488</v>
      </c>
      <c r="C4">
        <v>8</v>
      </c>
      <c r="D4" s="25">
        <v>7</v>
      </c>
      <c r="E4" t="str">
        <f>CONCATENATE("0x",DEC2HEX(D4,2))</f>
        <v>0x07</v>
      </c>
    </row>
    <row r="5" spans="1:5" x14ac:dyDescent="0.25">
      <c r="B5" t="s">
        <v>489</v>
      </c>
      <c r="C5">
        <v>16</v>
      </c>
      <c r="D5" s="25">
        <v>101</v>
      </c>
      <c r="E5" t="str">
        <f>CONCATENATE("0x",DEC2HEX(D5,4))</f>
        <v>0x0065</v>
      </c>
    </row>
    <row r="6" spans="1:5" x14ac:dyDescent="0.25">
      <c r="B6" t="s">
        <v>490</v>
      </c>
      <c r="C6">
        <v>32</v>
      </c>
      <c r="D6" s="25">
        <v>65536</v>
      </c>
      <c r="E6" t="str">
        <f>CONCATENATE("0x",DEC2HEX(D6,8))</f>
        <v>0x00010000</v>
      </c>
    </row>
    <row r="7" spans="1:5" x14ac:dyDescent="0.25">
      <c r="B7" t="s">
        <v>491</v>
      </c>
      <c r="C7">
        <v>64</v>
      </c>
      <c r="D7" s="25">
        <v>9.2233720368547697E+18</v>
      </c>
      <c r="E7" t="e">
        <f>CONCATENATE("0x",DEC2HEX(D7,16))</f>
        <v>#NUM!</v>
      </c>
    </row>
    <row r="8" spans="1:5" x14ac:dyDescent="0.25">
      <c r="A8" t="s">
        <v>492</v>
      </c>
      <c r="B8" t="s">
        <v>493</v>
      </c>
      <c r="D8" s="25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7</vt:i4>
      </vt:variant>
    </vt:vector>
  </HeadingPairs>
  <TitlesOfParts>
    <vt:vector size="18" baseType="lpstr">
      <vt:lpstr>32 Bits</vt:lpstr>
      <vt:lpstr>Mappings</vt:lpstr>
      <vt:lpstr>Complements</vt:lpstr>
      <vt:lpstr>BitOff XREF</vt:lpstr>
      <vt:lpstr>BitMath Strings</vt:lpstr>
      <vt:lpstr>Integeral Types</vt:lpstr>
      <vt:lpstr>Integer Type Maxima</vt:lpstr>
      <vt:lpstr>Properties of C# Integers</vt:lpstr>
      <vt:lpstr>BitRuler</vt:lpstr>
      <vt:lpstr>Bit Arrays for Hex Digits</vt:lpstr>
      <vt:lpstr>Sheet1</vt:lpstr>
      <vt:lpstr>Compact_GUID</vt:lpstr>
      <vt:lpstr>DecimalValueToBitNumber</vt:lpstr>
      <vt:lpstr>BitRuler!Tens</vt:lpstr>
      <vt:lpstr>TypeFromGUIDLookup</vt:lpstr>
      <vt:lpstr>typeof</vt:lpstr>
      <vt:lpstr>BitRuler!Units</vt:lpstr>
      <vt:lpstr>Visual_Studio_Project_Source_Code_Root</vt:lpstr>
    </vt:vector>
  </TitlesOfParts>
  <Company>Simple Soft Services,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Driven Power of Two Converter</dc:title>
  <dc:subject>Bit Fiddling Tools</dc:subject>
  <dc:creator>David A. Gray</dc:creator>
  <cp:lastModifiedBy>David A. Gray</cp:lastModifiedBy>
  <dcterms:created xsi:type="dcterms:W3CDTF">2014-05-21T06:52:09Z</dcterms:created>
  <dcterms:modified xsi:type="dcterms:W3CDTF">2016-05-02T09:01:49Z</dcterms:modified>
</cp:coreProperties>
</file>